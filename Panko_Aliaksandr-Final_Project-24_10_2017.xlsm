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B1203076-2D4D-A25B-A398-973B695A806A}"/>
  <workbookPr filterPrivacy="1" codeName="ЭтаКнига" defaultThemeVersion="124226"/>
  <bookViews>
    <workbookView xWindow="0" yWindow="0" windowWidth="14985" windowHeight="5565" tabRatio="753" activeTab="2"/>
  </bookViews>
  <sheets>
    <sheet name="Dividend Discount Model" sheetId="8" r:id="rId1"/>
    <sheet name="Single-Index Pricing Model" sheetId="9" r:id="rId2"/>
    <sheet name="The Black-Scholes model" sheetId="1" r:id="rId3"/>
  </sheets>
  <functionGroups builtInGroupCount="18"/>
  <definedNames>
    <definedName name="Discount_Factor">#REF!</definedName>
    <definedName name="Down_movement">#REF!</definedName>
    <definedName name="Exercise_Price">#REF!</definedName>
    <definedName name="Interest_Rate">#REF!</definedName>
    <definedName name="nSteps">#REF!</definedName>
    <definedName name="Number_of_Steps">#REF!</definedName>
    <definedName name="Stock_Price">#REF!</definedName>
    <definedName name="Time_Interval">#REF!</definedName>
    <definedName name="Time_to_Maturity">#REF!</definedName>
    <definedName name="TimeToMaturity">#REF!</definedName>
    <definedName name="Up_movement">#REF!</definedName>
    <definedName name="Up_probability">#REF!</definedName>
    <definedName name="Volatility">#REF!</definedName>
  </definedNames>
  <calcPr calcId="152511"/>
</workbook>
</file>

<file path=xl/calcChain.xml><?xml version="1.0" encoding="utf-8"?>
<calcChain xmlns="http://schemas.openxmlformats.org/spreadsheetml/2006/main">
  <c r="M2" i="9" l="1"/>
  <c r="L2" i="9"/>
  <c r="K2" i="9"/>
  <c r="J2" i="9"/>
  <c r="I2" i="9"/>
  <c r="H2" i="9"/>
  <c r="G2" i="9"/>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 i="9"/>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 i="9"/>
  <c r="P3" i="8"/>
  <c r="O3" i="8"/>
  <c r="N34" i="1"/>
  <c r="O34" i="1"/>
  <c r="F34" i="1" l="1"/>
  <c r="G34" i="1" s="1"/>
  <c r="I34" i="1" s="1"/>
  <c r="K34" i="1" l="1"/>
  <c r="J34" i="1"/>
  <c r="H34" i="1"/>
  <c r="L34" i="1" s="1"/>
  <c r="M34" i="1" l="1"/>
</calcChain>
</file>

<file path=xl/sharedStrings.xml><?xml version="1.0" encoding="utf-8"?>
<sst xmlns="http://schemas.openxmlformats.org/spreadsheetml/2006/main" count="36" uniqueCount="34">
  <si>
    <t>K - strike price</t>
  </si>
  <si>
    <t xml:space="preserve">t- time to maturity </t>
  </si>
  <si>
    <t>Input Parameters:</t>
  </si>
  <si>
    <r>
      <t>σ -</t>
    </r>
    <r>
      <rPr>
        <b/>
        <sz val="12"/>
        <color rgb="FF000000"/>
        <rFont val="Calibri"/>
        <family val="2"/>
        <scheme val="minor"/>
      </rPr>
      <t xml:space="preserve"> </t>
    </r>
    <r>
      <rPr>
        <b/>
        <sz val="11"/>
        <color rgb="FF000000"/>
        <rFont val="Calibri"/>
        <family val="2"/>
        <scheme val="minor"/>
      </rPr>
      <t>implied volatility</t>
    </r>
    <r>
      <rPr>
        <b/>
        <sz val="16"/>
        <color rgb="FF000000"/>
        <rFont val="Calibri"/>
        <family val="2"/>
        <scheme val="minor"/>
      </rPr>
      <t xml:space="preserve"> 
</t>
    </r>
  </si>
  <si>
    <t>N(d1)</t>
  </si>
  <si>
    <t>d2</t>
  </si>
  <si>
    <t>N(d2)</t>
  </si>
  <si>
    <t xml:space="preserve">d1 </t>
  </si>
  <si>
    <t>C - call option price</t>
  </si>
  <si>
    <t>P - put option price</t>
  </si>
  <si>
    <t>Result:</t>
  </si>
  <si>
    <t>Calculations:</t>
  </si>
  <si>
    <t>N(-d1)</t>
  </si>
  <si>
    <t>N(-d2)</t>
  </si>
  <si>
    <t>Date</t>
  </si>
  <si>
    <t>Result via VBA</t>
  </si>
  <si>
    <t>S - forward price</t>
  </si>
  <si>
    <t xml:space="preserve">r - risk-free rate </t>
  </si>
  <si>
    <t>D(0)</t>
  </si>
  <si>
    <t>g</t>
  </si>
  <si>
    <t>r</t>
  </si>
  <si>
    <t>D(1)</t>
  </si>
  <si>
    <t>Current value</t>
  </si>
  <si>
    <t>IBM_Close</t>
  </si>
  <si>
    <t>S&amp;P500_Close</t>
  </si>
  <si>
    <t>IBM_Returns</t>
  </si>
  <si>
    <t>S&amp;P500_Returns</t>
  </si>
  <si>
    <t>St.dev(S&amp;P500)</t>
  </si>
  <si>
    <t>St.dev(IBM)</t>
  </si>
  <si>
    <t>Corr(S&amp;P500 and IBM)</t>
  </si>
  <si>
    <t>Beta</t>
  </si>
  <si>
    <t>Alpha</t>
  </si>
  <si>
    <t>Mean(IBM)</t>
  </si>
  <si>
    <t>Mean(S&amp;P500)</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</si>
</sst>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scheme val="minor"/>
    </font>
    <font>
      <sz val="12"/>
      <color rgb="FF3C3C3C"/>
      <name val="Verdana"/>
      <family val="2"/>
    </font>
    <font>
      <b/>
      <sz val="14"/>
      <color theme="1"/>
      <name val="Calibri"/>
      <family val="2"/>
      <scheme val="minor"/>
    </font>
    <font>
      <b/>
      <sz val="12"/>
      <color rgb="FF3C3C3C"/>
      <name val="Verdana"/>
      <family val="2"/>
    </font>
    <font>
      <b/>
      <sz val="16"/>
      <color rgb="FF000000"/>
      <name val="Calibri"/>
      <family val="2"/>
      <scheme val="minor"/>
    </font>
    <font>
      <b/>
      <sz val="12"/>
      <color rgb="FF000000"/>
      <name val="Calibri"/>
      <family val="2"/>
      <scheme val="minor"/>
    </font>
    <font>
      <b/>
      <sz val="11"/>
      <color rgb="FF000000"/>
      <name val="Calibri"/>
      <family val="2"/>
      <scheme val="minor"/>
    </font>
    <font>
      <b/>
      <i/>
      <sz val="11"/>
      <color rgb="FF000000"/>
      <name val="Calibri"/>
      <family val="2"/>
      <scheme val="minor"/>
    </font>
    <font>
      <b/>
      <i/>
      <sz val="11"/>
      <color theme="1"/>
      <name val="Calibri"/>
      <family val="2"/>
      <scheme val="minor"/>
    </font>
    <font>
      <sz val="10"/>
      <name val="Arial"/>
      <family val="2"/>
      <charset val="1"/>
    </font>
    <font>
      <i/>
      <sz val="11"/>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CCFFFF"/>
        <bgColor indexed="64"/>
      </patternFill>
    </fill>
    <fill>
      <patternFill patternType="solid">
        <fgColor rgb="FFCCECFF"/>
        <bgColor indexed="64"/>
      </patternFill>
    </fill>
    <fill>
      <patternFill patternType="solid">
        <fgColor rgb="FFFFFF9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0" fillId="0" borderId="0" applyBorder="0">
      <protection locked="0"/>
    </xf>
    <xf numFmtId="0" fontId="10" fillId="0" borderId="0" applyBorder="0">
      <protection locked="0"/>
    </xf>
  </cellStyleXfs>
  <cellXfs count="32">
    <xf numFmtId="0" fontId="0" fillId="0" borderId="0" xfId="0"/>
    <xf numFmtId="0" fontId="3" fillId="0" borderId="0" xfId="0" applyFont="1" applyAlignment="1"/>
    <xf numFmtId="0" fontId="4" fillId="0" borderId="0" xfId="0" applyFont="1" applyBorder="1"/>
    <xf numFmtId="0" fontId="0" fillId="0" borderId="0" xfId="0" applyBorder="1"/>
    <xf numFmtId="0" fontId="2" fillId="0" borderId="0" xfId="0" applyFont="1" applyAlignment="1">
      <alignment horizontal="left" vertical="center" wrapText="1" indent="6"/>
    </xf>
    <xf numFmtId="0" fontId="1" fillId="3" borderId="1" xfId="0" applyFont="1" applyFill="1" applyBorder="1" applyAlignment="1"/>
    <xf numFmtId="0" fontId="1" fillId="3" borderId="1" xfId="0" applyFont="1" applyFill="1" applyBorder="1"/>
    <xf numFmtId="0" fontId="5" fillId="3" borderId="1" xfId="0" applyFont="1" applyFill="1" applyBorder="1" applyAlignment="1"/>
    <xf numFmtId="0" fontId="8" fillId="3" borderId="1" xfId="0" applyFont="1" applyFill="1" applyBorder="1"/>
    <xf numFmtId="0" fontId="0" fillId="3" borderId="1" xfId="0" applyFill="1" applyBorder="1"/>
    <xf numFmtId="0" fontId="9" fillId="4" borderId="1" xfId="0" applyFont="1" applyFill="1" applyBorder="1"/>
    <xf numFmtId="0" fontId="0" fillId="4" borderId="1" xfId="0" applyFill="1" applyBorder="1"/>
    <xf numFmtId="0" fontId="9" fillId="5" borderId="1" xfId="0" applyFont="1" applyFill="1" applyBorder="1"/>
    <xf numFmtId="0" fontId="0" fillId="5" borderId="1" xfId="0" applyFill="1" applyBorder="1"/>
    <xf numFmtId="0" fontId="0" fillId="0" borderId="0" xfId="0" applyFill="1" applyBorder="1"/>
    <xf numFmtId="0" fontId="0" fillId="0" borderId="0" xfId="0" applyFill="1" applyBorder="1" applyAlignment="1">
      <alignment wrapText="1"/>
    </xf>
    <xf numFmtId="0" fontId="1" fillId="0" borderId="0" xfId="0" applyFont="1" applyFill="1" applyBorder="1" applyAlignment="1">
      <alignment wrapText="1"/>
    </xf>
    <xf numFmtId="0" fontId="0" fillId="2" borderId="1" xfId="0" applyFill="1" applyBorder="1"/>
    <xf numFmtId="0" fontId="0" fillId="0" borderId="1" xfId="0" applyBorder="1"/>
    <xf numFmtId="0" fontId="9" fillId="2" borderId="1" xfId="0" applyFont="1" applyFill="1" applyBorder="1"/>
    <xf numFmtId="0" fontId="1" fillId="3" borderId="1" xfId="0" applyFont="1" applyFill="1" applyBorder="1" applyAlignment="1">
      <alignment horizontal="center"/>
    </xf>
    <xf numFmtId="0" fontId="0" fillId="3" borderId="1" xfId="0" applyFill="1" applyBorder="1" applyAlignment="1">
      <alignment horizontal="center"/>
    </xf>
    <xf numFmtId="0" fontId="1" fillId="5" borderId="1" xfId="0" applyFont="1" applyFill="1" applyBorder="1" applyAlignment="1">
      <alignment horizontal="center"/>
    </xf>
    <xf numFmtId="0" fontId="1" fillId="4" borderId="1" xfId="0" applyFont="1" applyFill="1" applyBorder="1" applyAlignment="1">
      <alignment horizontal="center"/>
    </xf>
    <xf numFmtId="0" fontId="1" fillId="2" borderId="1" xfId="0" applyFont="1" applyFill="1" applyBorder="1" applyAlignment="1">
      <alignment horizontal="center"/>
    </xf>
    <xf numFmtId="0" fontId="2" fillId="0" borderId="0" xfId="0" applyFont="1" applyBorder="1"/>
    <xf numFmtId="0" fontId="0" fillId="0" borderId="0" xfId="0" applyBorder="1" applyAlignment="1">
      <alignment horizontal="center"/>
    </xf>
    <xf numFmtId="14" fontId="0" fillId="0" borderId="1" xfId="0" applyNumberFormat="1" applyBorder="1"/>
    <xf numFmtId="0" fontId="0" fillId="2" borderId="1" xfId="0" applyFill="1" applyBorder="1"/>
    <xf numFmtId="0" fontId="0" fillId="0" borderId="0" xfId="0" applyFill="1" applyBorder="1" applyAlignment="1"/>
    <xf numFmtId="0" fontId="11" fillId="0" borderId="0" xfId="0" applyFont="1" applyFill="1" applyBorder="1" applyAlignment="1">
      <alignment horizontal="centerContinuous"/>
    </xf>
    <xf numFmtId="0" fontId="11" fillId="0" borderId="0" xfId="0" applyFont="1" applyFill="1" applyBorder="1" applyAlignment="1">
      <alignment horizontal="center"/>
    </xf>
  </cellXfs>
  <cellStyles count="3">
    <cellStyle name="Normal 2" xfId="1"/>
    <cellStyle name="Обычный" xfId="0" builtinId="0"/>
    <cellStyle name="Обычный 2" xfId="2"/>
  </cellStyles>
  <dxfs count="0"/>
  <tableStyles count="0" defaultTableStyle="TableStyleMedium2" defaultPivotStyle="PivotStyleMedium9"/>
  <colors>
    <mruColors>
      <color rgb="FF9BFDA0"/>
      <color rgb="FFCCFFCC"/>
      <color rgb="FFFFFF00"/>
      <color rgb="FF00FF00"/>
      <color rgb="FF99FFCC"/>
      <color rgb="FFCCECFF"/>
      <color rgb="FFFFFFCC"/>
      <color rgb="FFCC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4" Type="http://schemas.openxmlformats.org/officeDocument/2006/relationships/image" Target="../media/image4.gif"/></Relationships>
</file>

<file path=xl/drawings/drawing1.xml><?xml version="1.0" encoding="utf-8"?>
<xdr:wsDr xmlns:xdr="http://schemas.openxmlformats.org/drawingml/2006/spreadsheetDrawing" xmlns:a="http://schemas.openxmlformats.org/drawingml/2006/main">
  <xdr:twoCellAnchor>
    <xdr:from>
      <xdr:col>0</xdr:col>
      <xdr:colOff>47625</xdr:colOff>
      <xdr:row>0</xdr:row>
      <xdr:rowOff>47625</xdr:rowOff>
    </xdr:from>
    <xdr:to>
      <xdr:col>10</xdr:col>
      <xdr:colOff>19050</xdr:colOff>
      <xdr:row>19</xdr:row>
      <xdr:rowOff>1</xdr:rowOff>
    </xdr:to>
    <xdr:sp macro="" textlink="">
      <xdr:nvSpPr>
        <xdr:cNvPr id="2" name="Прямоугольник 1"/>
        <xdr:cNvSpPr/>
      </xdr:nvSpPr>
      <xdr:spPr>
        <a:xfrm>
          <a:off x="47625" y="47625"/>
          <a:ext cx="6067425" cy="3609976"/>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i="0" u="none" strike="noStrike">
              <a:solidFill>
                <a:sysClr val="windowText" lastClr="000000"/>
              </a:solidFill>
              <a:effectLst/>
              <a:latin typeface="+mn-lt"/>
              <a:ea typeface="+mn-ea"/>
              <a:cs typeface="+mn-cs"/>
            </a:rPr>
            <a:t>Calculate current stock price using the Dividend Discount Model</a:t>
          </a:r>
        </a:p>
        <a:p>
          <a:pPr algn="l"/>
          <a:endParaRPr lang="en-US" sz="1400" b="0" i="0" u="none" strike="noStrike">
            <a:solidFill>
              <a:sysClr val="windowText" lastClr="000000"/>
            </a:solidFill>
            <a:effectLst/>
            <a:latin typeface="+mn-lt"/>
            <a:ea typeface="+mn-ea"/>
            <a:cs typeface="+mn-cs"/>
          </a:endParaRPr>
        </a:p>
        <a:p>
          <a:pPr algn="l"/>
          <a:r>
            <a:rPr lang="en-US" sz="1400" b="0" i="0" u="none" strike="noStrike">
              <a:solidFill>
                <a:sysClr val="windowText" lastClr="000000"/>
              </a:solidFill>
              <a:effectLst/>
              <a:latin typeface="+mn-lt"/>
              <a:ea typeface="+mn-ea"/>
              <a:cs typeface="+mn-cs"/>
            </a:rPr>
            <a:t> D(0) = 100 (dividend value)</a:t>
          </a:r>
        </a:p>
        <a:p>
          <a:pPr algn="l"/>
          <a:r>
            <a:rPr lang="en-US" sz="1400">
              <a:solidFill>
                <a:sysClr val="windowText" lastClr="000000"/>
              </a:solidFill>
              <a:effectLst/>
            </a:rPr>
            <a:t> </a:t>
          </a:r>
          <a:r>
            <a:rPr lang="en-US" sz="1400" b="0" i="0" u="none" strike="noStrike">
              <a:solidFill>
                <a:sysClr val="windowText" lastClr="000000"/>
              </a:solidFill>
              <a:effectLst/>
              <a:latin typeface="+mn-lt"/>
              <a:ea typeface="+mn-ea"/>
              <a:cs typeface="+mn-cs"/>
            </a:rPr>
            <a:t>g = 2% (the constant growth rate in perpetuity expected for dividends)</a:t>
          </a:r>
        </a:p>
        <a:p>
          <a:pPr algn="l"/>
          <a:r>
            <a:rPr lang="en-US" sz="1400">
              <a:solidFill>
                <a:sysClr val="windowText" lastClr="000000"/>
              </a:solidFill>
              <a:effectLst/>
            </a:rPr>
            <a:t> </a:t>
          </a:r>
          <a:r>
            <a:rPr lang="en-US" sz="1400" b="0" i="0" u="none" strike="noStrike">
              <a:solidFill>
                <a:sysClr val="windowText" lastClr="000000"/>
              </a:solidFill>
              <a:effectLst/>
              <a:latin typeface="+mn-lt"/>
              <a:ea typeface="+mn-ea"/>
              <a:cs typeface="+mn-cs"/>
            </a:rPr>
            <a:t>r = 4% (the constant cost of equity capital for the company)</a:t>
          </a:r>
          <a:r>
            <a:rPr lang="en-US" sz="1400">
              <a:solidFill>
                <a:sysClr val="windowText" lastClr="000000"/>
              </a:solidFill>
              <a:effectLst/>
            </a:rPr>
            <a:t> </a:t>
          </a:r>
        </a:p>
        <a:p>
          <a:pPr algn="l"/>
          <a:endParaRPr lang="en-US" sz="1400">
            <a:solidFill>
              <a:sysClr val="windowText" lastClr="000000"/>
            </a:solidFill>
            <a:effectLst/>
          </a:endParaRPr>
        </a:p>
        <a:p>
          <a:pPr algn="l"/>
          <a:endParaRPr lang="en-US" sz="1400">
            <a:solidFill>
              <a:sysClr val="windowText" lastClr="000000"/>
            </a:solidFill>
            <a:effectLst/>
          </a:endParaRPr>
        </a:p>
        <a:p>
          <a:pPr algn="l"/>
          <a:r>
            <a:rPr lang="en-US" sz="1400" b="1" i="0" u="none" strike="noStrike">
              <a:solidFill>
                <a:sysClr val="windowText" lastClr="000000"/>
              </a:solidFill>
              <a:effectLst/>
              <a:latin typeface="+mn-lt"/>
              <a:ea typeface="+mn-ea"/>
              <a:cs typeface="+mn-cs"/>
            </a:rPr>
            <a:t>The dividend discount model (DDM) </a:t>
          </a:r>
          <a:r>
            <a:rPr lang="en-US" sz="1400" b="0" i="0" u="none" strike="noStrike">
              <a:solidFill>
                <a:sysClr val="windowText" lastClr="000000"/>
              </a:solidFill>
              <a:effectLst/>
              <a:latin typeface="+mn-lt"/>
              <a:ea typeface="+mn-ea"/>
              <a:cs typeface="+mn-cs"/>
            </a:rPr>
            <a:t>is a procedure for valuing the price of a stock by using the predicted dividends and discounting them back to the present value. If the value obtained from the DDM is higher than what the shares are currently trading at, then the stock is undervalued</a:t>
          </a:r>
          <a:r>
            <a:rPr lang="en-US" sz="1200" b="0" i="0">
              <a:solidFill>
                <a:sysClr val="windowText" lastClr="000000"/>
              </a:solidFill>
              <a:effectLst/>
              <a:latin typeface="+mn-lt"/>
              <a:ea typeface="+mn-ea"/>
              <a:cs typeface="+mn-cs"/>
            </a:rPr>
            <a:t>.</a:t>
          </a:r>
        </a:p>
        <a:p>
          <a:pPr algn="l"/>
          <a:endParaRPr lang="en-US" sz="1200" b="0" i="0">
            <a:solidFill>
              <a:sysClr val="windowText" lastClr="000000"/>
            </a:solidFill>
            <a:effectLst/>
            <a:latin typeface="+mn-lt"/>
            <a:ea typeface="+mn-ea"/>
            <a:cs typeface="+mn-cs"/>
          </a:endParaRPr>
        </a:p>
        <a:p>
          <a:pPr algn="l"/>
          <a:endParaRPr lang="en-US" sz="1200" b="0" i="0">
            <a:solidFill>
              <a:sysClr val="windowText" lastClr="000000"/>
            </a:solidFill>
            <a:effectLst/>
            <a:latin typeface="+mn-lt"/>
            <a:ea typeface="+mn-ea"/>
            <a:cs typeface="+mn-cs"/>
          </a:endParaRPr>
        </a:p>
        <a:p>
          <a:r>
            <a:rPr lang="en-US" sz="1400" b="0" i="0">
              <a:solidFill>
                <a:sysClr val="windowText" lastClr="000000"/>
              </a:solidFill>
              <a:effectLst/>
              <a:latin typeface="+mn-lt"/>
              <a:ea typeface="+mn-ea"/>
              <a:cs typeface="+mn-cs"/>
            </a:rPr>
            <a:t>Price per share = D(1) / (r - g), where</a:t>
          </a:r>
        </a:p>
        <a:p>
          <a:r>
            <a:rPr lang="en-US" sz="1400" b="0" i="0">
              <a:solidFill>
                <a:sysClr val="windowText" lastClr="000000"/>
              </a:solidFill>
              <a:effectLst/>
              <a:latin typeface="+mn-lt"/>
              <a:ea typeface="+mn-ea"/>
              <a:cs typeface="+mn-cs"/>
            </a:rPr>
            <a:t>D(1) = the estimated value of next year's dividend</a:t>
          </a:r>
        </a:p>
        <a:p>
          <a:r>
            <a:rPr lang="en-US" sz="1400" b="0" i="0">
              <a:solidFill>
                <a:sysClr val="windowText" lastClr="000000"/>
              </a:solidFill>
              <a:effectLst/>
              <a:latin typeface="+mn-lt"/>
              <a:ea typeface="+mn-ea"/>
              <a:cs typeface="+mn-cs"/>
            </a:rPr>
            <a:t>D(1) = D(0) x (1 + g) </a:t>
          </a:r>
        </a:p>
        <a:p>
          <a:endParaRPr lang="en-US" sz="1400" b="0" i="0">
            <a:solidFill>
              <a:sysClr val="windowText" lastClr="000000"/>
            </a:solidFill>
            <a:effectLst/>
            <a:latin typeface="+mn-lt"/>
            <a:ea typeface="+mn-ea"/>
            <a:cs typeface="+mn-cs"/>
          </a:endParaRPr>
        </a:p>
        <a:p>
          <a:endParaRPr lang="en-US" sz="1400" b="0" i="0">
            <a:solidFill>
              <a:sysClr val="windowText" lastClr="000000"/>
            </a:solidFill>
            <a:effectLst/>
            <a:latin typeface="+mn-lt"/>
            <a:ea typeface="+mn-ea"/>
            <a:cs typeface="+mn-cs"/>
          </a:endParaRPr>
        </a:p>
        <a:p>
          <a:endParaRPr lang="en-US" sz="1400" b="0" i="0">
            <a:solidFill>
              <a:sysClr val="windowText" lastClr="000000"/>
            </a:solidFill>
            <a:effectLst/>
            <a:latin typeface="+mn-lt"/>
            <a:ea typeface="+mn-ea"/>
            <a:cs typeface="+mn-cs"/>
          </a:endParaRPr>
        </a:p>
        <a:p>
          <a:endParaRPr lang="en-US" sz="1400" b="0" i="0">
            <a:solidFill>
              <a:sysClr val="windowText" lastClr="000000"/>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0</xdr:colOff>
      <xdr:row>27</xdr:row>
      <xdr:rowOff>142875</xdr:rowOff>
    </xdr:to>
    <xdr:sp macro="" textlink="">
      <xdr:nvSpPr>
        <xdr:cNvPr id="2" name="TextBox 1"/>
        <xdr:cNvSpPr txBox="1"/>
      </xdr:nvSpPr>
      <xdr:spPr>
        <a:xfrm>
          <a:off x="0" y="0"/>
          <a:ext cx="9144000" cy="5391150"/>
        </a:xfrm>
        <a:prstGeom prst="rect">
          <a:avLst/>
        </a:prstGeom>
        <a:solidFill>
          <a:srgbClr val="9BFD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u="none" strike="noStrike">
              <a:solidFill>
                <a:schemeClr val="dk1"/>
              </a:solidFill>
              <a:effectLst/>
              <a:latin typeface="+mn-lt"/>
              <a:ea typeface="+mn-ea"/>
              <a:cs typeface="+mn-cs"/>
            </a:rPr>
            <a:t> The Black-Scholes Model </a:t>
          </a:r>
          <a:r>
            <a:rPr lang="en-US" sz="1400" b="0" i="1" u="none" strike="noStrike">
              <a:solidFill>
                <a:schemeClr val="dk1"/>
              </a:solidFill>
              <a:effectLst/>
              <a:latin typeface="+mn-lt"/>
              <a:ea typeface="+mn-ea"/>
              <a:cs typeface="+mn-cs"/>
            </a:rPr>
            <a:t>is a mathematical model used to estimate the price of European-style options (call and put). </a:t>
          </a:r>
        </a:p>
        <a:p>
          <a:endParaRPr lang="en-US" sz="1400" b="1" i="0" u="none" strike="noStrike">
            <a:solidFill>
              <a:schemeClr val="dk1"/>
            </a:solidFill>
            <a:effectLst/>
            <a:latin typeface="+mn-lt"/>
            <a:ea typeface="+mn-ea"/>
            <a:cs typeface="+mn-cs"/>
          </a:endParaRPr>
        </a:p>
        <a:p>
          <a:r>
            <a:rPr lang="en-US" sz="1400" b="0" i="1"/>
            <a:t> </a:t>
          </a:r>
          <a:r>
            <a:rPr lang="en-US" sz="1400" b="0" i="1" u="none" strike="noStrike">
              <a:solidFill>
                <a:schemeClr val="dk1"/>
              </a:solidFill>
              <a:effectLst/>
              <a:latin typeface="+mn-lt"/>
              <a:ea typeface="+mn-ea"/>
              <a:cs typeface="+mn-cs"/>
            </a:rPr>
            <a:t>The model requires the following inputs to estimate the price of an option:</a:t>
          </a:r>
        </a:p>
        <a:p>
          <a:pPr lvl="1"/>
          <a:r>
            <a:rPr lang="en-US" sz="1400" b="0" i="1" u="none" strike="noStrike">
              <a:solidFill>
                <a:schemeClr val="dk1"/>
              </a:solidFill>
              <a:effectLst/>
              <a:latin typeface="+mn-lt"/>
              <a:ea typeface="+mn-ea"/>
              <a:cs typeface="+mn-cs"/>
            </a:rPr>
            <a:t>S = </a:t>
          </a:r>
          <a:r>
            <a:rPr lang="en-US" sz="1400" b="0" i="1" u="none" strike="noStrike">
              <a:solidFill>
                <a:schemeClr val="dk1"/>
              </a:solidFill>
              <a:effectLst/>
              <a:latin typeface="+mn-lt"/>
              <a:ea typeface="+mn-ea"/>
              <a:cs typeface="+mn-cs"/>
            </a:rPr>
            <a:t>forward Central Appalachia coal price per short ton</a:t>
          </a:r>
          <a:endParaRPr lang="en-US" sz="1400" b="0" i="1" u="none" strike="noStrike">
            <a:solidFill>
              <a:schemeClr val="dk1"/>
            </a:solidFill>
            <a:effectLst/>
            <a:latin typeface="+mn-lt"/>
            <a:ea typeface="+mn-ea"/>
            <a:cs typeface="+mn-cs"/>
          </a:endParaRPr>
        </a:p>
        <a:p>
          <a:pPr lvl="1"/>
          <a:r>
            <a:rPr lang="en-US" sz="1400" b="0" i="1" u="none" strike="noStrike">
              <a:solidFill>
                <a:schemeClr val="dk1"/>
              </a:solidFill>
              <a:effectLst/>
              <a:latin typeface="+mn-lt"/>
              <a:ea typeface="+mn-ea"/>
              <a:cs typeface="+mn-cs"/>
            </a:rPr>
            <a:t>K = strike price or exercise price</a:t>
          </a:r>
          <a:r>
            <a:rPr lang="en-US" sz="1400" b="0" i="1">
              <a:effectLst/>
            </a:rPr>
            <a:t> </a:t>
          </a:r>
        </a:p>
        <a:p>
          <a:pPr lvl="1"/>
          <a:r>
            <a:rPr lang="en-US" sz="1400" b="0" i="1" u="none" strike="noStrike">
              <a:solidFill>
                <a:schemeClr val="dk1"/>
              </a:solidFill>
              <a:effectLst/>
              <a:latin typeface="+mn-lt"/>
              <a:ea typeface="+mn-ea"/>
              <a:cs typeface="+mn-cs"/>
            </a:rPr>
            <a:t>r = risk-free rate of interest</a:t>
          </a:r>
        </a:p>
        <a:p>
          <a:pPr lvl="1"/>
          <a:r>
            <a:rPr lang="el-GR" sz="1600" b="0" i="0">
              <a:solidFill>
                <a:schemeClr val="dk1"/>
              </a:solidFill>
              <a:effectLst/>
              <a:latin typeface="+mn-lt"/>
              <a:ea typeface="+mn-ea"/>
              <a:cs typeface="+mn-cs"/>
            </a:rPr>
            <a:t>σ</a:t>
          </a:r>
          <a:r>
            <a:rPr lang="en-US" sz="1400" b="0" i="1" u="none" strike="noStrike">
              <a:solidFill>
                <a:schemeClr val="dk1"/>
              </a:solidFill>
              <a:effectLst/>
              <a:latin typeface="+mn-lt"/>
              <a:ea typeface="+mn-ea"/>
              <a:cs typeface="+mn-cs"/>
            </a:rPr>
            <a:t> = implied volatility</a:t>
          </a:r>
          <a:r>
            <a:rPr lang="en-US" sz="1400" b="0" i="1">
              <a:effectLst/>
            </a:rPr>
            <a:t> </a:t>
          </a:r>
        </a:p>
        <a:p>
          <a:pPr lvl="1"/>
          <a:r>
            <a:rPr lang="en-US" sz="1400" b="0" i="1" u="none" strike="noStrike">
              <a:solidFill>
                <a:schemeClr val="dk1"/>
              </a:solidFill>
              <a:effectLst/>
              <a:latin typeface="+mn-lt"/>
              <a:ea typeface="+mn-ea"/>
              <a:cs typeface="+mn-cs"/>
            </a:rPr>
            <a:t>t = time to maturity (in years)</a:t>
          </a:r>
          <a:r>
            <a:rPr lang="en-US" sz="1400" b="0" i="1">
              <a:effectLst/>
            </a:rPr>
            <a:t> </a:t>
          </a:r>
        </a:p>
        <a:p>
          <a:pPr lvl="1"/>
          <a:endParaRPr lang="en-US" sz="1400" b="0" i="1">
            <a:effectLst/>
          </a:endParaRPr>
        </a:p>
        <a:p>
          <a:pPr lvl="0"/>
          <a:r>
            <a:rPr lang="en-US" sz="1400" b="0" i="1" u="none" strike="noStrike">
              <a:solidFill>
                <a:schemeClr val="dk1"/>
              </a:solidFill>
              <a:effectLst/>
              <a:latin typeface="+mn-lt"/>
              <a:ea typeface="+mn-ea"/>
              <a:cs typeface="+mn-cs"/>
            </a:rPr>
            <a:t>The pricing model is:</a:t>
          </a:r>
        </a:p>
        <a:p>
          <a:pPr lvl="0"/>
          <a:endParaRPr lang="en-US" sz="1400" b="0" i="1" u="none" strike="noStrike">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0" i="1" u="none" strike="noStrike">
              <a:solidFill>
                <a:schemeClr val="dk1"/>
              </a:solidFill>
              <a:effectLst/>
              <a:latin typeface="+mn-lt"/>
              <a:ea typeface="+mn-ea"/>
              <a:cs typeface="+mn-cs"/>
            </a:rPr>
            <a:t>			</a:t>
          </a:r>
          <a:r>
            <a:rPr lang="en-US" sz="1400" b="0" i="1" u="none" strike="noStrike" baseline="0">
              <a:solidFill>
                <a:schemeClr val="dk1"/>
              </a:solidFill>
              <a:effectLst/>
              <a:latin typeface="+mn-lt"/>
              <a:ea typeface="+mn-ea"/>
              <a:cs typeface="+mn-cs"/>
            </a:rPr>
            <a:t>   - </a:t>
          </a:r>
          <a:r>
            <a:rPr lang="en-US" sz="1100" i="1">
              <a:solidFill>
                <a:schemeClr val="dk1"/>
              </a:solidFill>
              <a:effectLst/>
              <a:latin typeface="+mn-lt"/>
              <a:ea typeface="+mn-ea"/>
              <a:cs typeface="+mn-cs"/>
            </a:rPr>
            <a:t>Call option</a:t>
          </a:r>
          <a:r>
            <a:rPr lang="en-US" sz="1100" i="1" baseline="0">
              <a:solidFill>
                <a:schemeClr val="dk1"/>
              </a:solidFill>
              <a:effectLst/>
              <a:latin typeface="+mn-lt"/>
              <a:ea typeface="+mn-ea"/>
              <a:cs typeface="+mn-cs"/>
            </a:rPr>
            <a:t> price</a:t>
          </a:r>
          <a:endParaRPr lang="en-US" sz="1400">
            <a:effectLst/>
          </a:endParaRPr>
        </a:p>
        <a:p>
          <a:pPr lvl="0"/>
          <a:endParaRPr lang="en-US" sz="1400" b="0" i="1" u="none" strike="noStrike">
            <a:solidFill>
              <a:schemeClr val="dk1"/>
            </a:solidFill>
            <a:effectLst/>
            <a:latin typeface="+mn-lt"/>
            <a:ea typeface="+mn-ea"/>
            <a:cs typeface="+mn-cs"/>
          </a:endParaRPr>
        </a:p>
        <a:p>
          <a:pPr lvl="0"/>
          <a:r>
            <a:rPr lang="en-US" sz="1400" b="0" i="1" u="none" strike="noStrike">
              <a:solidFill>
                <a:schemeClr val="dk1"/>
              </a:solidFill>
              <a:effectLst/>
              <a:latin typeface="+mn-lt"/>
              <a:ea typeface="+mn-ea"/>
              <a:cs typeface="+mn-cs"/>
            </a:rPr>
            <a:t>			</a:t>
          </a:r>
          <a:r>
            <a:rPr lang="en-US" sz="1400" b="0" i="1" u="none" strike="noStrike" baseline="0">
              <a:solidFill>
                <a:schemeClr val="dk1"/>
              </a:solidFill>
              <a:effectLst/>
              <a:latin typeface="+mn-lt"/>
              <a:ea typeface="+mn-ea"/>
              <a:cs typeface="+mn-cs"/>
            </a:rPr>
            <a:t>        </a:t>
          </a:r>
          <a:r>
            <a:rPr lang="en-US" sz="1100" i="1">
              <a:solidFill>
                <a:schemeClr val="dk1"/>
              </a:solidFill>
              <a:effectLst/>
              <a:latin typeface="+mn-lt"/>
              <a:ea typeface="+mn-ea"/>
              <a:cs typeface="+mn-cs"/>
            </a:rPr>
            <a:t>-  Put option price</a:t>
          </a: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endParaRPr lang="en-US" sz="1400" b="0" i="1" u="none" strike="noStrike">
            <a:solidFill>
              <a:schemeClr val="dk1"/>
            </a:solidFill>
            <a:effectLst/>
            <a:latin typeface="+mn-lt"/>
            <a:ea typeface="+mn-ea"/>
            <a:cs typeface="+mn-cs"/>
          </a:endParaRPr>
        </a:p>
        <a:p>
          <a:pPr lvl="0"/>
          <a:r>
            <a:rPr lang="en-US" sz="1400" b="0" i="1" u="none" strike="noStrike">
              <a:solidFill>
                <a:schemeClr val="dk1"/>
              </a:solidFill>
              <a:effectLst/>
              <a:latin typeface="+mn-lt"/>
              <a:ea typeface="+mn-ea"/>
              <a:cs typeface="+mn-cs"/>
            </a:rPr>
            <a:t>where </a:t>
          </a:r>
        </a:p>
        <a:p>
          <a:pPr lvl="0"/>
          <a:r>
            <a:rPr lang="en-US" sz="1400" b="0" i="1" u="none" strike="noStrike">
              <a:solidFill>
                <a:schemeClr val="dk1"/>
              </a:solidFill>
              <a:effectLst/>
              <a:latin typeface="+mn-lt"/>
              <a:ea typeface="+mn-ea"/>
              <a:cs typeface="+mn-cs"/>
            </a:rPr>
            <a:t>N(x)</a:t>
          </a:r>
          <a:r>
            <a:rPr lang="en-US" sz="1400" b="0" i="1" u="none" strike="noStrike" baseline="0">
              <a:solidFill>
                <a:schemeClr val="dk1"/>
              </a:solidFill>
              <a:effectLst/>
              <a:latin typeface="+mn-lt"/>
              <a:ea typeface="+mn-ea"/>
              <a:cs typeface="+mn-cs"/>
            </a:rPr>
            <a:t> is</a:t>
          </a:r>
          <a:r>
            <a:rPr lang="en-US" sz="1400" b="0" i="1" u="none" strike="noStrike">
              <a:solidFill>
                <a:schemeClr val="dk1"/>
              </a:solidFill>
              <a:effectLst/>
              <a:latin typeface="+mn-lt"/>
              <a:ea typeface="+mn-ea"/>
              <a:cs typeface="+mn-cs"/>
            </a:rPr>
            <a:t> the cumulative probability distribution function for the standardized normal distribution (mean = 0 and standard deviation = 1). In other words, it the probability that a variable with standard normal distribution N(0, 1) will be less than x.</a:t>
          </a:r>
        </a:p>
      </xdr:txBody>
    </xdr:sp>
    <xdr:clientData/>
  </xdr:twoCellAnchor>
  <xdr:twoCellAnchor editAs="oneCell">
    <xdr:from>
      <xdr:col>0</xdr:col>
      <xdr:colOff>600075</xdr:colOff>
      <xdr:row>12</xdr:row>
      <xdr:rowOff>66675</xdr:rowOff>
    </xdr:from>
    <xdr:to>
      <xdr:col>2</xdr:col>
      <xdr:colOff>476250</xdr:colOff>
      <xdr:row>13</xdr:row>
      <xdr:rowOff>47625</xdr:rowOff>
    </xdr:to>
    <xdr:pic>
      <xdr:nvPicPr>
        <xdr:cNvPr id="3" name="Picture 2" descr="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075" y="2457450"/>
          <a:ext cx="21526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571500</xdr:colOff>
      <xdr:row>14</xdr:row>
      <xdr:rowOff>133350</xdr:rowOff>
    </xdr:from>
    <xdr:to>
      <xdr:col>2</xdr:col>
      <xdr:colOff>704850</xdr:colOff>
      <xdr:row>15</xdr:row>
      <xdr:rowOff>114300</xdr:rowOff>
    </xdr:to>
    <xdr:pic>
      <xdr:nvPicPr>
        <xdr:cNvPr id="4" name="Picture 3" descr="p="/>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1500" y="2905125"/>
          <a:ext cx="240982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600075</xdr:colOff>
      <xdr:row>16</xdr:row>
      <xdr:rowOff>104775</xdr:rowOff>
    </xdr:from>
    <xdr:to>
      <xdr:col>2</xdr:col>
      <xdr:colOff>95250</xdr:colOff>
      <xdr:row>19</xdr:row>
      <xdr:rowOff>28575</xdr:rowOff>
    </xdr:to>
    <xdr:pic>
      <xdr:nvPicPr>
        <xdr:cNvPr id="5" name="Picture 4" descr="d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0075" y="3257550"/>
          <a:ext cx="17716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600075</xdr:colOff>
      <xdr:row>20</xdr:row>
      <xdr:rowOff>57150</xdr:rowOff>
    </xdr:from>
    <xdr:to>
      <xdr:col>1</xdr:col>
      <xdr:colOff>228600</xdr:colOff>
      <xdr:row>21</xdr:row>
      <xdr:rowOff>38100</xdr:rowOff>
    </xdr:to>
    <xdr:pic>
      <xdr:nvPicPr>
        <xdr:cNvPr id="6" name="Picture 5" descr="d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0075" y="3971925"/>
          <a:ext cx="99060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27</xdr:row>
      <xdr:rowOff>161925</xdr:rowOff>
    </xdr:from>
    <xdr:to>
      <xdr:col>13</xdr:col>
      <xdr:colOff>9524</xdr:colOff>
      <xdr:row>30</xdr:row>
      <xdr:rowOff>180975</xdr:rowOff>
    </xdr:to>
    <xdr:sp macro="" textlink="">
      <xdr:nvSpPr>
        <xdr:cNvPr id="8" name="TextBox 7"/>
        <xdr:cNvSpPr txBox="1"/>
      </xdr:nvSpPr>
      <xdr:spPr>
        <a:xfrm>
          <a:off x="0" y="5410200"/>
          <a:ext cx="11915774"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1"/>
            <a:t>The Black-Scholes model implementation</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sheet____2"/>
  <dimension ref="A1:P4"/>
  <sheetViews>
    <sheetView workbookViewId="0">
      <selection activeCell="K11" sqref="K11"/>
    </sheetView>
  </sheetViews>
  <sheetFormatPr defaultRowHeight="15" x14ac:dyDescent="0.25"/>
  <cols>
    <col min="16" max="16" width="17.28515625" customWidth="1"/>
  </cols>
  <sheetData>
    <row r="1" spans="1:16" ht="15.75" x14ac:dyDescent="0.25">
      <c r="A1" s="25"/>
      <c r="B1" s="26"/>
      <c r="C1" s="26"/>
      <c r="D1" s="26"/>
      <c r="E1" s="26"/>
      <c r="F1" s="3"/>
      <c r="G1" s="3"/>
      <c r="H1" s="3"/>
      <c r="I1" s="3"/>
      <c r="J1" s="3"/>
    </row>
    <row r="2" spans="1:16" ht="15.75" x14ac:dyDescent="0.25">
      <c r="A2" s="25"/>
      <c r="B2" s="3"/>
      <c r="C2" s="3"/>
      <c r="D2" s="3"/>
      <c r="E2" s="3"/>
      <c r="F2" s="3"/>
      <c r="G2" s="3"/>
      <c r="H2" s="3"/>
      <c r="I2" s="3"/>
      <c r="J2" s="3"/>
      <c r="L2" s="18" t="s">
        <v>18</v>
      </c>
      <c r="M2" s="18" t="s">
        <v>19</v>
      </c>
      <c r="N2" s="18" t="s">
        <v>20</v>
      </c>
      <c r="O2" s="18" t="s">
        <v>21</v>
      </c>
      <c r="P2" s="18" t="s">
        <v>22</v>
      </c>
    </row>
    <row r="3" spans="1:16" ht="15.75" x14ac:dyDescent="0.25">
      <c r="A3" s="25"/>
      <c r="B3" s="3"/>
      <c r="C3" s="3"/>
      <c r="D3" s="3"/>
      <c r="E3" s="3"/>
      <c r="F3" s="3"/>
      <c r="G3" s="3"/>
      <c r="H3" s="3"/>
      <c r="I3" s="3"/>
      <c r="J3" s="3"/>
      <c r="L3" s="18">
        <v>100</v>
      </c>
      <c r="M3" s="18">
        <v>0.02</v>
      </c>
      <c r="N3" s="18">
        <v>0.04</v>
      </c>
      <c r="O3" s="18">
        <f>L3*(1+M3)</f>
        <v>102</v>
      </c>
      <c r="P3" s="18">
        <f>O3/(N3-M3)</f>
        <v>5100</v>
      </c>
    </row>
    <row r="4" spans="1:16" ht="15.75" x14ac:dyDescent="0.25">
      <c r="A4" s="25"/>
      <c r="B4" s="3"/>
      <c r="C4" s="3"/>
      <c r="D4" s="3"/>
      <c r="E4" s="3"/>
      <c r="F4" s="3"/>
      <c r="G4" s="3"/>
      <c r="H4" s="3"/>
      <c r="I4" s="3"/>
      <c r="J4" s="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53"/>
  <sheetViews>
    <sheetView workbookViewId="0">
      <selection activeCell="D2" sqref="D2"/>
    </sheetView>
  </sheetViews>
  <sheetFormatPr defaultRowHeight="15" x14ac:dyDescent="0.25"/>
  <cols>
    <col min="1" max="1" width="13.85546875" customWidth="1"/>
    <col min="2" max="2" width="11.85546875" customWidth="1"/>
    <col min="3" max="3" width="15.85546875" customWidth="1"/>
    <col min="4" max="4" width="14.85546875" customWidth="1"/>
    <col min="5" max="5" width="16.7109375" customWidth="1"/>
    <col min="7" max="7" width="16.5703125" customWidth="1"/>
    <col min="8" max="8" width="12.7109375" customWidth="1"/>
    <col min="9" max="9" width="20.7109375" customWidth="1"/>
    <col min="11" max="11" width="11.5703125" customWidth="1"/>
    <col min="12" max="12" width="14.5703125" customWidth="1"/>
    <col min="13" max="13" width="13.140625" customWidth="1"/>
  </cols>
  <sheetData>
    <row r="1" spans="1:13" x14ac:dyDescent="0.25">
      <c r="A1" s="28" t="s">
        <v>14</v>
      </c>
      <c r="B1" s="28" t="s">
        <v>23</v>
      </c>
      <c r="C1" s="28" t="s">
        <v>24</v>
      </c>
      <c r="D1" s="28" t="s">
        <v>25</v>
      </c>
      <c r="E1" s="28" t="s">
        <v>26</v>
      </c>
      <c r="F1" s="3"/>
      <c r="G1" s="28" t="s">
        <v>27</v>
      </c>
      <c r="H1" s="28" t="s">
        <v>28</v>
      </c>
      <c r="I1" s="28" t="s">
        <v>29</v>
      </c>
      <c r="J1" s="28" t="s">
        <v>30</v>
      </c>
      <c r="K1" s="28" t="s">
        <v>32</v>
      </c>
      <c r="L1" s="28" t="s">
        <v>33</v>
      </c>
      <c r="M1" s="28" t="s">
        <v>31</v>
      </c>
    </row>
    <row r="2" spans="1:13" x14ac:dyDescent="0.25">
      <c r="A2" s="27">
        <v>43028</v>
      </c>
      <c r="B2" s="18">
        <v>162.070007</v>
      </c>
      <c r="C2" s="18">
        <v>2575.209961</v>
      </c>
      <c r="D2" s="18">
        <f>(B2-B3)/B3</f>
        <v>7.2716783320701155E-3</v>
      </c>
      <c r="E2" s="18">
        <f>(C2-C3)/C3</f>
        <v>5.1168426285272059E-3</v>
      </c>
      <c r="F2" s="3"/>
      <c r="G2" s="18">
        <f>STDEV(E2:E252)</f>
        <v>4.5759800425991025E-3</v>
      </c>
      <c r="H2" s="18">
        <f>STDEV(D2:D252)</f>
        <v>1.0254374907598757E-2</v>
      </c>
      <c r="I2" s="18">
        <f>CORREL(D2:D252,E2:E252)</f>
        <v>0.32220274137034627</v>
      </c>
      <c r="J2" s="18">
        <f>I2*H2/G2</f>
        <v>0.72202843445772213</v>
      </c>
      <c r="K2" s="18">
        <f>AVERAGE(D2:D252)</f>
        <v>3.6989647922593718E-4</v>
      </c>
      <c r="L2" s="18">
        <f>AVERAGE(E2:E252)</f>
        <v>7.4608241857360364E-4</v>
      </c>
      <c r="M2" s="18">
        <f>K2-J2*L2</f>
        <v>-1.6879624143319286E-4</v>
      </c>
    </row>
    <row r="3" spans="1:13" x14ac:dyDescent="0.25">
      <c r="A3" s="27">
        <v>43027</v>
      </c>
      <c r="B3" s="18">
        <v>160.89999399999999</v>
      </c>
      <c r="C3" s="18">
        <v>2562.1000979999999</v>
      </c>
      <c r="D3" s="18">
        <f t="shared" ref="D3:D66" si="0">(B3-B4)/B4</f>
        <v>8.587695158200237E-3</v>
      </c>
      <c r="E3" s="18">
        <f t="shared" ref="E3:E66" si="1">(C3-C4)/C4</f>
        <v>3.2799793723399577E-4</v>
      </c>
      <c r="F3" s="3"/>
      <c r="G3" s="30"/>
      <c r="H3" s="3"/>
      <c r="I3" s="3"/>
      <c r="J3" s="3"/>
      <c r="K3" s="3"/>
      <c r="L3" s="3"/>
    </row>
    <row r="4" spans="1:13" x14ac:dyDescent="0.25">
      <c r="A4" s="27">
        <v>43026</v>
      </c>
      <c r="B4" s="18">
        <v>159.529999</v>
      </c>
      <c r="C4" s="18">
        <v>2561.26001</v>
      </c>
      <c r="D4" s="18">
        <f t="shared" si="0"/>
        <v>8.8644783816797329E-2</v>
      </c>
      <c r="E4" s="18">
        <f t="shared" si="1"/>
        <v>7.423351621382425E-4</v>
      </c>
      <c r="F4" s="3"/>
      <c r="G4" s="29"/>
      <c r="H4" s="3"/>
      <c r="I4" s="3"/>
      <c r="J4" s="3"/>
      <c r="K4" s="3"/>
      <c r="L4" s="3"/>
    </row>
    <row r="5" spans="1:13" x14ac:dyDescent="0.25">
      <c r="A5" s="27">
        <v>43025</v>
      </c>
      <c r="B5" s="18">
        <v>146.53999300000001</v>
      </c>
      <c r="C5" s="18">
        <v>2559.360107</v>
      </c>
      <c r="D5" s="18">
        <f t="shared" si="0"/>
        <v>-1.9751344823927589E-3</v>
      </c>
      <c r="E5" s="18">
        <f t="shared" si="1"/>
        <v>6.7257865530952665E-4</v>
      </c>
      <c r="F5" s="3"/>
      <c r="G5" s="29"/>
      <c r="H5" s="3"/>
      <c r="I5" s="3"/>
      <c r="J5" s="3"/>
      <c r="K5" s="3"/>
      <c r="L5" s="3"/>
    </row>
    <row r="6" spans="1:13" x14ac:dyDescent="0.25">
      <c r="A6" s="27">
        <v>43024</v>
      </c>
      <c r="B6" s="18">
        <v>146.83000200000001</v>
      </c>
      <c r="C6" s="18">
        <v>2557.639893</v>
      </c>
      <c r="D6" s="18">
        <f t="shared" si="0"/>
        <v>-1.8355131814202653E-3</v>
      </c>
      <c r="E6" s="18">
        <f t="shared" si="1"/>
        <v>1.7507534306602202E-3</v>
      </c>
      <c r="F6" s="3"/>
      <c r="G6" s="29"/>
      <c r="H6" s="3"/>
      <c r="I6" s="3"/>
      <c r="J6" s="3"/>
      <c r="K6" s="3"/>
      <c r="L6" s="3"/>
    </row>
    <row r="7" spans="1:13" x14ac:dyDescent="0.25">
      <c r="A7" s="27">
        <v>43021</v>
      </c>
      <c r="B7" s="18">
        <v>147.10000600000001</v>
      </c>
      <c r="C7" s="18">
        <v>2553.169922</v>
      </c>
      <c r="D7" s="18">
        <f t="shared" si="0"/>
        <v>4.7614092685944944E-4</v>
      </c>
      <c r="E7" s="18">
        <f t="shared" si="1"/>
        <v>8.7810722352684139E-4</v>
      </c>
      <c r="F7" s="3"/>
      <c r="G7" s="29"/>
      <c r="H7" s="3"/>
      <c r="I7" s="3"/>
      <c r="J7" s="3"/>
      <c r="K7" s="3"/>
      <c r="L7" s="3"/>
    </row>
    <row r="8" spans="1:13" x14ac:dyDescent="0.25">
      <c r="A8" s="27">
        <v>43020</v>
      </c>
      <c r="B8" s="18">
        <v>147.029999</v>
      </c>
      <c r="C8" s="18">
        <v>2550.929932</v>
      </c>
      <c r="D8" s="18">
        <f t="shared" si="0"/>
        <v>-3.9967214468472588E-3</v>
      </c>
      <c r="E8" s="18">
        <f t="shared" si="1"/>
        <v>-1.6867527186751748E-3</v>
      </c>
      <c r="F8" s="3"/>
      <c r="G8" s="29"/>
      <c r="H8" s="3"/>
      <c r="I8" s="3"/>
      <c r="J8" s="3"/>
      <c r="K8" s="3"/>
      <c r="L8" s="3"/>
    </row>
    <row r="9" spans="1:13" x14ac:dyDescent="0.25">
      <c r="A9" s="27">
        <v>43019</v>
      </c>
      <c r="B9" s="18">
        <v>147.61999499999999</v>
      </c>
      <c r="C9" s="18">
        <v>2555.23999</v>
      </c>
      <c r="D9" s="18">
        <f t="shared" si="0"/>
        <v>-5.925959595959672E-3</v>
      </c>
      <c r="E9" s="18">
        <f t="shared" si="1"/>
        <v>1.8035070386158997E-3</v>
      </c>
      <c r="F9" s="3"/>
      <c r="G9" s="3"/>
      <c r="H9" s="3"/>
      <c r="I9" s="3"/>
      <c r="J9" s="3"/>
      <c r="K9" s="3"/>
      <c r="L9" s="3"/>
    </row>
    <row r="10" spans="1:13" x14ac:dyDescent="0.25">
      <c r="A10" s="27">
        <v>43018</v>
      </c>
      <c r="B10" s="18">
        <v>148.5</v>
      </c>
      <c r="C10" s="18">
        <v>2550.639893</v>
      </c>
      <c r="D10" s="18">
        <f t="shared" si="0"/>
        <v>7.5310469335169153E-3</v>
      </c>
      <c r="E10" s="18">
        <f t="shared" si="1"/>
        <v>2.3224126121231771E-3</v>
      </c>
      <c r="F10" s="3"/>
      <c r="G10" s="3"/>
      <c r="H10" s="3"/>
      <c r="I10" s="3"/>
      <c r="J10" s="3"/>
      <c r="K10" s="3"/>
      <c r="L10" s="3"/>
    </row>
    <row r="11" spans="1:13" x14ac:dyDescent="0.25">
      <c r="A11" s="27">
        <v>43017</v>
      </c>
      <c r="B11" s="18">
        <v>147.38999899999999</v>
      </c>
      <c r="C11" s="18">
        <v>2544.7299800000001</v>
      </c>
      <c r="D11" s="18">
        <f t="shared" si="0"/>
        <v>6.212472862164667E-3</v>
      </c>
      <c r="E11" s="18">
        <f t="shared" si="1"/>
        <v>-1.8044340510071403E-3</v>
      </c>
      <c r="F11" s="3"/>
      <c r="G11" s="31"/>
      <c r="H11" s="31"/>
      <c r="I11" s="31"/>
      <c r="J11" s="31"/>
      <c r="K11" s="31"/>
      <c r="L11" s="3"/>
    </row>
    <row r="12" spans="1:13" x14ac:dyDescent="0.25">
      <c r="A12" s="27">
        <v>43014</v>
      </c>
      <c r="B12" s="18">
        <v>146.479996</v>
      </c>
      <c r="C12" s="18">
        <v>2549.330078</v>
      </c>
      <c r="D12" s="18">
        <f t="shared" si="0"/>
        <v>-1.6358028787090621E-3</v>
      </c>
      <c r="E12" s="18">
        <f t="shared" si="1"/>
        <v>-1.0736343152785389E-3</v>
      </c>
      <c r="F12" s="3"/>
      <c r="G12" s="29"/>
      <c r="H12" s="29"/>
      <c r="I12" s="29"/>
      <c r="J12" s="29"/>
      <c r="K12" s="29"/>
      <c r="L12" s="3"/>
    </row>
    <row r="13" spans="1:13" x14ac:dyDescent="0.25">
      <c r="A13" s="27">
        <v>43013</v>
      </c>
      <c r="B13" s="18">
        <v>146.720001</v>
      </c>
      <c r="C13" s="18">
        <v>2552.070068</v>
      </c>
      <c r="D13" s="18">
        <f t="shared" si="0"/>
        <v>1.6384831141038293E-3</v>
      </c>
      <c r="E13" s="18">
        <f t="shared" si="1"/>
        <v>5.6467873211865005E-3</v>
      </c>
      <c r="F13" s="3"/>
      <c r="G13" s="29"/>
      <c r="H13" s="29"/>
      <c r="I13" s="29"/>
      <c r="J13" s="29"/>
      <c r="K13" s="29"/>
      <c r="L13" s="3"/>
    </row>
    <row r="14" spans="1:13" x14ac:dyDescent="0.25">
      <c r="A14" s="27">
        <v>43012</v>
      </c>
      <c r="B14" s="18">
        <v>146.479996</v>
      </c>
      <c r="C14" s="18">
        <v>2537.73999</v>
      </c>
      <c r="D14" s="18">
        <f t="shared" si="0"/>
        <v>-2.043895640032017E-3</v>
      </c>
      <c r="E14" s="18">
        <f t="shared" si="1"/>
        <v>1.2467201282878846E-3</v>
      </c>
      <c r="F14" s="3"/>
      <c r="G14" s="29"/>
      <c r="H14" s="29"/>
      <c r="I14" s="29"/>
      <c r="J14" s="29"/>
      <c r="K14" s="29"/>
      <c r="L14" s="3"/>
    </row>
    <row r="15" spans="1:13" x14ac:dyDescent="0.25">
      <c r="A15" s="27">
        <v>43011</v>
      </c>
      <c r="B15" s="18">
        <v>146.779999</v>
      </c>
      <c r="C15" s="18">
        <v>2534.580078</v>
      </c>
      <c r="D15" s="18">
        <f t="shared" si="0"/>
        <v>8.181848951812192E-4</v>
      </c>
      <c r="E15" s="18">
        <f t="shared" si="1"/>
        <v>2.1588381521699079E-3</v>
      </c>
      <c r="F15" s="3"/>
      <c r="G15" s="3"/>
      <c r="H15" s="3"/>
      <c r="I15" s="3"/>
      <c r="J15" s="3"/>
      <c r="K15" s="3"/>
      <c r="L15" s="3"/>
    </row>
    <row r="16" spans="1:13" x14ac:dyDescent="0.25">
      <c r="A16" s="27">
        <v>43010</v>
      </c>
      <c r="B16" s="18">
        <v>146.66000399999999</v>
      </c>
      <c r="C16" s="18">
        <v>2529.1201169999999</v>
      </c>
      <c r="D16" s="18">
        <f t="shared" si="0"/>
        <v>1.089055678397343E-2</v>
      </c>
      <c r="E16" s="18">
        <f t="shared" si="1"/>
        <v>3.8740035506960443E-3</v>
      </c>
      <c r="F16" s="3"/>
      <c r="G16" s="3"/>
      <c r="H16" s="3"/>
      <c r="I16" s="3"/>
      <c r="J16" s="3"/>
      <c r="K16" s="3"/>
      <c r="L16" s="3"/>
    </row>
    <row r="17" spans="1:12" x14ac:dyDescent="0.25">
      <c r="A17" s="27">
        <v>43007</v>
      </c>
      <c r="B17" s="18">
        <v>145.08000200000001</v>
      </c>
      <c r="C17" s="18">
        <v>2519.360107</v>
      </c>
      <c r="D17" s="18">
        <f t="shared" si="0"/>
        <v>-3.9818892219718677E-3</v>
      </c>
      <c r="E17" s="18">
        <f t="shared" si="1"/>
        <v>3.7051097509217252E-3</v>
      </c>
      <c r="F17" s="3"/>
      <c r="G17" s="3"/>
      <c r="H17" s="3"/>
      <c r="I17" s="3"/>
      <c r="J17" s="3"/>
      <c r="K17" s="3"/>
      <c r="L17" s="3"/>
    </row>
    <row r="18" spans="1:12" x14ac:dyDescent="0.25">
      <c r="A18" s="27">
        <v>43006</v>
      </c>
      <c r="B18" s="18">
        <v>145.66000399999999</v>
      </c>
      <c r="C18" s="18">
        <v>2510.0600589999999</v>
      </c>
      <c r="D18" s="18">
        <f t="shared" si="0"/>
        <v>0</v>
      </c>
      <c r="E18" s="18">
        <f t="shared" si="1"/>
        <v>1.2046157831625804E-3</v>
      </c>
    </row>
    <row r="19" spans="1:12" x14ac:dyDescent="0.25">
      <c r="A19" s="27">
        <v>43005</v>
      </c>
      <c r="B19" s="18">
        <v>145.66000399999999</v>
      </c>
      <c r="C19" s="18">
        <v>2507.040039</v>
      </c>
      <c r="D19" s="18">
        <f t="shared" si="0"/>
        <v>-6.1407888392576316E-3</v>
      </c>
      <c r="E19" s="18">
        <f t="shared" si="1"/>
        <v>4.0851438780648321E-3</v>
      </c>
    </row>
    <row r="20" spans="1:12" x14ac:dyDescent="0.25">
      <c r="A20" s="27">
        <v>43004</v>
      </c>
      <c r="B20" s="18">
        <v>146.55999800000001</v>
      </c>
      <c r="C20" s="18">
        <v>2496.8400879999999</v>
      </c>
      <c r="D20" s="18">
        <f t="shared" si="0"/>
        <v>4.7302599825277203E-3</v>
      </c>
      <c r="E20" s="18">
        <f t="shared" si="1"/>
        <v>7.2166817408268093E-5</v>
      </c>
    </row>
    <row r="21" spans="1:12" x14ac:dyDescent="0.25">
      <c r="A21" s="27">
        <v>43003</v>
      </c>
      <c r="B21" s="18">
        <v>145.86999499999999</v>
      </c>
      <c r="C21" s="18">
        <v>2496.6599120000001</v>
      </c>
      <c r="D21" s="18">
        <f t="shared" si="0"/>
        <v>5.0988077896088916E-3</v>
      </c>
      <c r="E21" s="18">
        <f t="shared" si="1"/>
        <v>-2.2220504449806063E-3</v>
      </c>
    </row>
    <row r="22" spans="1:12" x14ac:dyDescent="0.25">
      <c r="A22" s="27">
        <v>43000</v>
      </c>
      <c r="B22" s="18">
        <v>145.13000500000001</v>
      </c>
      <c r="C22" s="18">
        <v>2502.219971</v>
      </c>
      <c r="D22" s="18">
        <f t="shared" si="0"/>
        <v>-8.9487818032757242E-4</v>
      </c>
      <c r="E22" s="18">
        <f t="shared" si="1"/>
        <v>6.4779370411753774E-4</v>
      </c>
    </row>
    <row r="23" spans="1:12" x14ac:dyDescent="0.25">
      <c r="A23" s="27">
        <v>42999</v>
      </c>
      <c r="B23" s="18">
        <v>145.259995</v>
      </c>
      <c r="C23" s="18">
        <v>2500.6000979999999</v>
      </c>
      <c r="D23" s="18">
        <f t="shared" si="0"/>
        <v>-4.250136953313154E-3</v>
      </c>
      <c r="E23" s="18">
        <f t="shared" si="1"/>
        <v>-3.0459174682085127E-3</v>
      </c>
    </row>
    <row r="24" spans="1:12" x14ac:dyDescent="0.25">
      <c r="A24" s="27">
        <v>42998</v>
      </c>
      <c r="B24" s="18">
        <v>145.88000500000001</v>
      </c>
      <c r="C24" s="18">
        <v>2508.23999</v>
      </c>
      <c r="D24" s="18">
        <f t="shared" si="0"/>
        <v>1.0319315813555913E-2</v>
      </c>
      <c r="E24" s="18">
        <f t="shared" si="1"/>
        <v>6.3434785955997588E-4</v>
      </c>
    </row>
    <row r="25" spans="1:12" x14ac:dyDescent="0.25">
      <c r="A25" s="27">
        <v>42997</v>
      </c>
      <c r="B25" s="18">
        <v>144.38999899999999</v>
      </c>
      <c r="C25" s="18">
        <v>2506.6499020000001</v>
      </c>
      <c r="D25" s="18">
        <f t="shared" si="0"/>
        <v>-1.1069110804516199E-3</v>
      </c>
      <c r="E25" s="18">
        <f t="shared" si="1"/>
        <v>1.1101953656169517E-3</v>
      </c>
    </row>
    <row r="26" spans="1:12" x14ac:dyDescent="0.25">
      <c r="A26" s="27">
        <v>42996</v>
      </c>
      <c r="B26" s="18">
        <v>144.550003</v>
      </c>
      <c r="C26" s="18">
        <v>2503.8701169999999</v>
      </c>
      <c r="D26" s="18">
        <f t="shared" si="0"/>
        <v>-1.8644109028388607E-3</v>
      </c>
      <c r="E26" s="18">
        <f t="shared" si="1"/>
        <v>1.4559208669275567E-3</v>
      </c>
    </row>
    <row r="27" spans="1:12" x14ac:dyDescent="0.25">
      <c r="A27" s="27">
        <v>42993</v>
      </c>
      <c r="B27" s="18">
        <v>144.820007</v>
      </c>
      <c r="C27" s="18">
        <v>2500.2299800000001</v>
      </c>
      <c r="D27" s="18">
        <f t="shared" si="0"/>
        <v>-4.9469976269684562E-3</v>
      </c>
      <c r="E27" s="18">
        <f t="shared" si="1"/>
        <v>1.8471813753215278E-3</v>
      </c>
    </row>
    <row r="28" spans="1:12" x14ac:dyDescent="0.25">
      <c r="A28" s="27">
        <v>42992</v>
      </c>
      <c r="B28" s="18">
        <v>145.53999300000001</v>
      </c>
      <c r="C28" s="18">
        <v>2495.6201169999999</v>
      </c>
      <c r="D28" s="18">
        <f t="shared" si="0"/>
        <v>-3.0824849961474197E-3</v>
      </c>
      <c r="E28" s="18">
        <f t="shared" si="1"/>
        <v>-1.1007176163722904E-3</v>
      </c>
    </row>
    <row r="29" spans="1:12" x14ac:dyDescent="0.25">
      <c r="A29" s="27">
        <v>42991</v>
      </c>
      <c r="B29" s="18">
        <v>145.990005</v>
      </c>
      <c r="C29" s="18">
        <v>2498.3701169999999</v>
      </c>
      <c r="D29" s="18">
        <f t="shared" si="0"/>
        <v>1.5780049937569834E-3</v>
      </c>
      <c r="E29" s="18">
        <f t="shared" si="1"/>
        <v>7.571208321886354E-4</v>
      </c>
    </row>
    <row r="30" spans="1:12" x14ac:dyDescent="0.25">
      <c r="A30" s="27">
        <v>42990</v>
      </c>
      <c r="B30" s="18">
        <v>145.759995</v>
      </c>
      <c r="C30" s="18">
        <v>2496.4799800000001</v>
      </c>
      <c r="D30" s="18">
        <f t="shared" si="0"/>
        <v>6.212853746977348E-3</v>
      </c>
      <c r="E30" s="18">
        <f t="shared" si="1"/>
        <v>3.3639479926762333E-3</v>
      </c>
    </row>
    <row r="31" spans="1:12" x14ac:dyDescent="0.25">
      <c r="A31" s="27">
        <v>42989</v>
      </c>
      <c r="B31" s="18">
        <v>144.86000100000001</v>
      </c>
      <c r="C31" s="18">
        <v>2488.110107</v>
      </c>
      <c r="D31" s="18">
        <f t="shared" si="0"/>
        <v>1.6918245354543705E-2</v>
      </c>
      <c r="E31" s="18">
        <f t="shared" si="1"/>
        <v>1.0839298999797799E-2</v>
      </c>
    </row>
    <row r="32" spans="1:12" x14ac:dyDescent="0.25">
      <c r="A32" s="27">
        <v>42986</v>
      </c>
      <c r="B32" s="18">
        <v>142.449997</v>
      </c>
      <c r="C32" s="18">
        <v>2461.429932</v>
      </c>
      <c r="D32" s="18">
        <f t="shared" si="0"/>
        <v>-3.1490344219328396E-3</v>
      </c>
      <c r="E32" s="18">
        <f t="shared" si="1"/>
        <v>-1.4888506973723228E-3</v>
      </c>
    </row>
    <row r="33" spans="1:5" x14ac:dyDescent="0.25">
      <c r="A33" s="27">
        <v>42985</v>
      </c>
      <c r="B33" s="18">
        <v>142.89999399999999</v>
      </c>
      <c r="C33" s="18">
        <v>2465.1000979999999</v>
      </c>
      <c r="D33" s="18">
        <f t="shared" si="0"/>
        <v>-6.3969750745458626E-3</v>
      </c>
      <c r="E33" s="18">
        <f t="shared" si="1"/>
        <v>-1.784359584679573E-4</v>
      </c>
    </row>
    <row r="34" spans="1:5" x14ac:dyDescent="0.25">
      <c r="A34" s="27">
        <v>42984</v>
      </c>
      <c r="B34" s="18">
        <v>143.820007</v>
      </c>
      <c r="C34" s="18">
        <v>2465.540039</v>
      </c>
      <c r="D34" s="18">
        <f t="shared" si="0"/>
        <v>5.4531182758097178E-3</v>
      </c>
      <c r="E34" s="18">
        <f t="shared" si="1"/>
        <v>3.1287266079642298E-3</v>
      </c>
    </row>
    <row r="35" spans="1:5" x14ac:dyDescent="0.25">
      <c r="A35" s="27">
        <v>42983</v>
      </c>
      <c r="B35" s="18">
        <v>143.03999300000001</v>
      </c>
      <c r="C35" s="18">
        <v>2457.8500979999999</v>
      </c>
      <c r="D35" s="18">
        <f t="shared" si="0"/>
        <v>-7.2182744694853467E-3</v>
      </c>
      <c r="E35" s="18">
        <f t="shared" si="1"/>
        <v>-7.5508068199755798E-3</v>
      </c>
    </row>
    <row r="36" spans="1:5" x14ac:dyDescent="0.25">
      <c r="A36" s="27">
        <v>42979</v>
      </c>
      <c r="B36" s="18">
        <v>144.08000200000001</v>
      </c>
      <c r="C36" s="18">
        <v>2476.5500489999999</v>
      </c>
      <c r="D36" s="18">
        <f t="shared" si="0"/>
        <v>7.341138274076362E-3</v>
      </c>
      <c r="E36" s="18">
        <f t="shared" si="1"/>
        <v>1.9825408914242878E-3</v>
      </c>
    </row>
    <row r="37" spans="1:5" x14ac:dyDescent="0.25">
      <c r="A37" s="27">
        <v>42978</v>
      </c>
      <c r="B37" s="18">
        <v>143.029999</v>
      </c>
      <c r="C37" s="18">
        <v>2471.6499020000001</v>
      </c>
      <c r="D37" s="18">
        <f t="shared" si="0"/>
        <v>3.2968645243667606E-3</v>
      </c>
      <c r="E37" s="18">
        <f t="shared" si="1"/>
        <v>5.7209760360980863E-3</v>
      </c>
    </row>
    <row r="38" spans="1:5" x14ac:dyDescent="0.25">
      <c r="A38" s="27">
        <v>42977</v>
      </c>
      <c r="B38" s="18">
        <v>142.55999800000001</v>
      </c>
      <c r="C38" s="18">
        <v>2457.5900879999999</v>
      </c>
      <c r="D38" s="18">
        <f t="shared" si="0"/>
        <v>-4.0519840998460644E-3</v>
      </c>
      <c r="E38" s="18">
        <f t="shared" si="1"/>
        <v>4.6151489080888206E-3</v>
      </c>
    </row>
    <row r="39" spans="1:5" x14ac:dyDescent="0.25">
      <c r="A39" s="27">
        <v>42976</v>
      </c>
      <c r="B39" s="18">
        <v>143.13999899999999</v>
      </c>
      <c r="C39" s="18">
        <v>2446.3000489999999</v>
      </c>
      <c r="D39" s="18">
        <f t="shared" si="0"/>
        <v>4.4207706273513333E-3</v>
      </c>
      <c r="E39" s="18">
        <f t="shared" si="1"/>
        <v>8.4282190309794831E-4</v>
      </c>
    </row>
    <row r="40" spans="1:5" x14ac:dyDescent="0.25">
      <c r="A40" s="27">
        <v>42975</v>
      </c>
      <c r="B40" s="18">
        <v>142.509995</v>
      </c>
      <c r="C40" s="18">
        <v>2444.23999</v>
      </c>
      <c r="D40" s="18">
        <f t="shared" si="0"/>
        <v>-8.5571862892309825E-3</v>
      </c>
      <c r="E40" s="18">
        <f t="shared" si="1"/>
        <v>4.8707188806351378E-4</v>
      </c>
    </row>
    <row r="41" spans="1:5" x14ac:dyDescent="0.25">
      <c r="A41" s="27">
        <v>42972</v>
      </c>
      <c r="B41" s="18">
        <v>143.740005</v>
      </c>
      <c r="C41" s="18">
        <v>2443.0500489999999</v>
      </c>
      <c r="D41" s="18">
        <f t="shared" si="0"/>
        <v>5.5967747922656659E-3</v>
      </c>
      <c r="E41" s="18">
        <f t="shared" si="1"/>
        <v>1.6728693048758973E-3</v>
      </c>
    </row>
    <row r="42" spans="1:5" x14ac:dyDescent="0.25">
      <c r="A42" s="27">
        <v>42971</v>
      </c>
      <c r="B42" s="18">
        <v>142.94000199999999</v>
      </c>
      <c r="C42" s="18">
        <v>2438.969971</v>
      </c>
      <c r="D42" s="18">
        <f t="shared" si="0"/>
        <v>5.6282749797965303E-3</v>
      </c>
      <c r="E42" s="18">
        <f t="shared" si="1"/>
        <v>-2.0744619233302145E-3</v>
      </c>
    </row>
    <row r="43" spans="1:5" x14ac:dyDescent="0.25">
      <c r="A43" s="27">
        <v>42970</v>
      </c>
      <c r="B43" s="18">
        <v>142.13999899999999</v>
      </c>
      <c r="C43" s="18">
        <v>2444.040039</v>
      </c>
      <c r="D43" s="18">
        <f t="shared" si="0"/>
        <v>8.0136447065329332E-3</v>
      </c>
      <c r="E43" s="18">
        <f t="shared" si="1"/>
        <v>-3.4535928356924368E-3</v>
      </c>
    </row>
    <row r="44" spans="1:5" x14ac:dyDescent="0.25">
      <c r="A44" s="27">
        <v>42969</v>
      </c>
      <c r="B44" s="18">
        <v>141.009995</v>
      </c>
      <c r="C44" s="18">
        <v>2452.51001</v>
      </c>
      <c r="D44" s="18">
        <f t="shared" si="0"/>
        <v>4.8456708494880232E-3</v>
      </c>
      <c r="E44" s="18">
        <f t="shared" si="1"/>
        <v>9.9407799622498929E-3</v>
      </c>
    </row>
    <row r="45" spans="1:5" x14ac:dyDescent="0.25">
      <c r="A45" s="27">
        <v>42968</v>
      </c>
      <c r="B45" s="18">
        <v>140.33000200000001</v>
      </c>
      <c r="C45" s="18">
        <v>2428.3701169999999</v>
      </c>
      <c r="D45" s="18">
        <f t="shared" si="0"/>
        <v>4.509699452606368E-3</v>
      </c>
      <c r="E45" s="18">
        <f t="shared" si="1"/>
        <v>1.1626509216590452E-3</v>
      </c>
    </row>
    <row r="46" spans="1:5" x14ac:dyDescent="0.25">
      <c r="A46" s="27">
        <v>42965</v>
      </c>
      <c r="B46" s="18">
        <v>139.699997</v>
      </c>
      <c r="C46" s="18">
        <v>2425.5500489999999</v>
      </c>
      <c r="D46" s="18">
        <f t="shared" si="0"/>
        <v>-7.1073206916983803E-3</v>
      </c>
      <c r="E46" s="18">
        <f t="shared" si="1"/>
        <v>-1.8353673366143957E-3</v>
      </c>
    </row>
    <row r="47" spans="1:5" x14ac:dyDescent="0.25">
      <c r="A47" s="27">
        <v>42964</v>
      </c>
      <c r="B47" s="18">
        <v>140.699997</v>
      </c>
      <c r="C47" s="18">
        <v>2430.01001</v>
      </c>
      <c r="D47" s="18">
        <f t="shared" si="0"/>
        <v>-1.2631600000000026E-2</v>
      </c>
      <c r="E47" s="18">
        <f t="shared" si="1"/>
        <v>-1.5436951897705593E-2</v>
      </c>
    </row>
    <row r="48" spans="1:5" x14ac:dyDescent="0.25">
      <c r="A48" s="27">
        <v>42963</v>
      </c>
      <c r="B48" s="18">
        <v>142.5</v>
      </c>
      <c r="C48" s="18">
        <v>2468.110107</v>
      </c>
      <c r="D48" s="18">
        <f t="shared" si="0"/>
        <v>3.0266275696037379E-3</v>
      </c>
      <c r="E48" s="18">
        <f t="shared" si="1"/>
        <v>1.4201029160999055E-3</v>
      </c>
    </row>
    <row r="49" spans="1:5" x14ac:dyDescent="0.25">
      <c r="A49" s="27">
        <v>42962</v>
      </c>
      <c r="B49" s="18">
        <v>142.070007</v>
      </c>
      <c r="C49" s="18">
        <v>2464.610107</v>
      </c>
      <c r="D49" s="18">
        <f t="shared" si="0"/>
        <v>-1.7566047477780126E-3</v>
      </c>
      <c r="E49" s="18">
        <f t="shared" si="1"/>
        <v>-4.9880809626936054E-4</v>
      </c>
    </row>
    <row r="50" spans="1:5" x14ac:dyDescent="0.25">
      <c r="A50" s="27">
        <v>42961</v>
      </c>
      <c r="B50" s="18">
        <v>142.320007</v>
      </c>
      <c r="C50" s="18">
        <v>2465.8400879999999</v>
      </c>
      <c r="D50" s="18">
        <f t="shared" si="0"/>
        <v>3.384172402260857E-3</v>
      </c>
      <c r="E50" s="18">
        <f t="shared" si="1"/>
        <v>1.0043754738020664E-2</v>
      </c>
    </row>
    <row r="51" spans="1:5" x14ac:dyDescent="0.25">
      <c r="A51" s="27">
        <v>42958</v>
      </c>
      <c r="B51" s="18">
        <v>141.83999600000001</v>
      </c>
      <c r="C51" s="18">
        <v>2441.320068</v>
      </c>
      <c r="D51" s="18">
        <f t="shared" si="0"/>
        <v>0</v>
      </c>
      <c r="E51" s="18">
        <f t="shared" si="1"/>
        <v>1.2755698031536222E-3</v>
      </c>
    </row>
    <row r="52" spans="1:5" x14ac:dyDescent="0.25">
      <c r="A52" s="27">
        <v>42957</v>
      </c>
      <c r="B52" s="18">
        <v>141.83999600000001</v>
      </c>
      <c r="C52" s="18">
        <v>2438.209961</v>
      </c>
      <c r="D52" s="18">
        <f t="shared" si="0"/>
        <v>4.9370105117591294E-4</v>
      </c>
      <c r="E52" s="18">
        <f t="shared" si="1"/>
        <v>-1.4474441884265719E-2</v>
      </c>
    </row>
    <row r="53" spans="1:5" x14ac:dyDescent="0.25">
      <c r="A53" s="27">
        <v>42956</v>
      </c>
      <c r="B53" s="18">
        <v>141.770004</v>
      </c>
      <c r="C53" s="18">
        <v>2474.0200199999999</v>
      </c>
      <c r="D53" s="18">
        <f t="shared" si="0"/>
        <v>-2.3924917149216749E-3</v>
      </c>
      <c r="E53" s="18">
        <f t="shared" si="1"/>
        <v>-3.6360853213904953E-4</v>
      </c>
    </row>
    <row r="54" spans="1:5" x14ac:dyDescent="0.25">
      <c r="A54" s="27">
        <v>42955</v>
      </c>
      <c r="B54" s="18">
        <v>142.11000100000001</v>
      </c>
      <c r="C54" s="18">
        <v>2474.919922</v>
      </c>
      <c r="D54" s="18">
        <f t="shared" si="0"/>
        <v>-9.4793335925325971E-3</v>
      </c>
      <c r="E54" s="18">
        <f t="shared" si="1"/>
        <v>-2.4144326930320369E-3</v>
      </c>
    </row>
    <row r="55" spans="1:5" x14ac:dyDescent="0.25">
      <c r="A55" s="27">
        <v>42954</v>
      </c>
      <c r="B55" s="18">
        <v>143.470001</v>
      </c>
      <c r="C55" s="18">
        <v>2480.9099120000001</v>
      </c>
      <c r="D55" s="18">
        <f t="shared" si="0"/>
        <v>-1.1642346055598003E-2</v>
      </c>
      <c r="E55" s="18">
        <f t="shared" si="1"/>
        <v>1.6471997963197051E-3</v>
      </c>
    </row>
    <row r="56" spans="1:5" x14ac:dyDescent="0.25">
      <c r="A56" s="27">
        <v>42951</v>
      </c>
      <c r="B56" s="18">
        <v>145.16000399999999</v>
      </c>
      <c r="C56" s="18">
        <v>2476.830078</v>
      </c>
      <c r="D56" s="18">
        <f t="shared" si="0"/>
        <v>1.5178832410944346E-3</v>
      </c>
      <c r="E56" s="18">
        <f t="shared" si="1"/>
        <v>1.889103523332224E-3</v>
      </c>
    </row>
    <row r="57" spans="1:5" x14ac:dyDescent="0.25">
      <c r="A57" s="27">
        <v>42950</v>
      </c>
      <c r="B57" s="18">
        <v>144.94000199999999</v>
      </c>
      <c r="C57" s="18">
        <v>2472.1599120000001</v>
      </c>
      <c r="D57" s="18">
        <f t="shared" si="0"/>
        <v>3.3922119084571285E-3</v>
      </c>
      <c r="E57" s="18">
        <f t="shared" si="1"/>
        <v>-2.1836540850556948E-3</v>
      </c>
    </row>
    <row r="58" spans="1:5" x14ac:dyDescent="0.25">
      <c r="A58" s="27">
        <v>42949</v>
      </c>
      <c r="B58" s="18">
        <v>144.449997</v>
      </c>
      <c r="C58" s="18">
        <v>2477.570068</v>
      </c>
      <c r="D58" s="18">
        <f t="shared" si="0"/>
        <v>-5.8500067615277858E-3</v>
      </c>
      <c r="E58" s="18">
        <f t="shared" si="1"/>
        <v>4.9264843488220831E-4</v>
      </c>
    </row>
    <row r="59" spans="1:5" x14ac:dyDescent="0.25">
      <c r="A59" s="27">
        <v>42948</v>
      </c>
      <c r="B59" s="18">
        <v>145.300003</v>
      </c>
      <c r="C59" s="18">
        <v>2476.3500979999999</v>
      </c>
      <c r="D59" s="18">
        <f t="shared" si="0"/>
        <v>4.3547729917022002E-3</v>
      </c>
      <c r="E59" s="18">
        <f t="shared" si="1"/>
        <v>2.4491150386565632E-3</v>
      </c>
    </row>
    <row r="60" spans="1:5" x14ac:dyDescent="0.25">
      <c r="A60" s="27">
        <v>42947</v>
      </c>
      <c r="B60" s="18">
        <v>144.66999799999999</v>
      </c>
      <c r="C60" s="18">
        <v>2470.3000489999999</v>
      </c>
      <c r="D60" s="18">
        <f t="shared" si="0"/>
        <v>2.633619921237246E-3</v>
      </c>
      <c r="E60" s="18">
        <f t="shared" si="1"/>
        <v>-7.2814567721437976E-4</v>
      </c>
    </row>
    <row r="61" spans="1:5" x14ac:dyDescent="0.25">
      <c r="A61" s="27">
        <v>42944</v>
      </c>
      <c r="B61" s="18">
        <v>144.28999300000001</v>
      </c>
      <c r="C61" s="18">
        <v>2472.1000979999999</v>
      </c>
      <c r="D61" s="18">
        <f t="shared" si="0"/>
        <v>-5.3768109351507382E-3</v>
      </c>
      <c r="E61" s="18">
        <f t="shared" si="1"/>
        <v>-1.3411154893339964E-3</v>
      </c>
    </row>
    <row r="62" spans="1:5" x14ac:dyDescent="0.25">
      <c r="A62" s="27">
        <v>42943</v>
      </c>
      <c r="B62" s="18">
        <v>145.070007</v>
      </c>
      <c r="C62" s="18">
        <v>2475.419922</v>
      </c>
      <c r="D62" s="18">
        <f t="shared" si="0"/>
        <v>-1.9950054898527909E-3</v>
      </c>
      <c r="E62" s="18">
        <f t="shared" si="1"/>
        <v>-9.7268816832883544E-4</v>
      </c>
    </row>
    <row r="63" spans="1:5" x14ac:dyDescent="0.25">
      <c r="A63" s="27">
        <v>42942</v>
      </c>
      <c r="B63" s="18">
        <v>145.36000100000001</v>
      </c>
      <c r="C63" s="18">
        <v>2477.830078</v>
      </c>
      <c r="D63" s="18">
        <f t="shared" si="0"/>
        <v>-5.677549686332049E-3</v>
      </c>
      <c r="E63" s="18">
        <f t="shared" si="1"/>
        <v>2.826638218711014E-4</v>
      </c>
    </row>
    <row r="64" spans="1:5" x14ac:dyDescent="0.25">
      <c r="A64" s="27">
        <v>42941</v>
      </c>
      <c r="B64" s="18">
        <v>146.19000199999999</v>
      </c>
      <c r="C64" s="18">
        <v>2477.1298830000001</v>
      </c>
      <c r="D64" s="18">
        <f t="shared" si="0"/>
        <v>1.3699362500877797E-3</v>
      </c>
      <c r="E64" s="18">
        <f t="shared" si="1"/>
        <v>2.9231717986643664E-3</v>
      </c>
    </row>
    <row r="65" spans="1:5" x14ac:dyDescent="0.25">
      <c r="A65" s="27">
        <v>42940</v>
      </c>
      <c r="B65" s="18">
        <v>145.990005</v>
      </c>
      <c r="C65" s="18">
        <v>2469.9099120000001</v>
      </c>
      <c r="D65" s="18">
        <f t="shared" si="0"/>
        <v>-7.410912327836458E-3</v>
      </c>
      <c r="E65" s="18">
        <f t="shared" si="1"/>
        <v>-1.0637348469647581E-3</v>
      </c>
    </row>
    <row r="66" spans="1:5" x14ac:dyDescent="0.25">
      <c r="A66" s="27">
        <v>42937</v>
      </c>
      <c r="B66" s="18">
        <v>147.08000200000001</v>
      </c>
      <c r="C66" s="18">
        <v>2472.540039</v>
      </c>
      <c r="D66" s="18">
        <f t="shared" si="0"/>
        <v>-3.9279560089946841E-3</v>
      </c>
      <c r="E66" s="18">
        <f t="shared" si="1"/>
        <v>-3.6787160364098131E-4</v>
      </c>
    </row>
    <row r="67" spans="1:5" x14ac:dyDescent="0.25">
      <c r="A67" s="27">
        <v>42936</v>
      </c>
      <c r="B67" s="18">
        <v>147.66000399999999</v>
      </c>
      <c r="C67" s="18">
        <v>2473.4499510000001</v>
      </c>
      <c r="D67" s="18">
        <f t="shared" ref="D67:D130" si="2">(B67-B68)/B68</f>
        <v>8.8121060720662537E-4</v>
      </c>
      <c r="E67" s="18">
        <f t="shared" ref="E67:E130" si="3">(C67-C68)/C68</f>
        <v>-1.5365930076621139E-4</v>
      </c>
    </row>
    <row r="68" spans="1:5" x14ac:dyDescent="0.25">
      <c r="A68" s="27">
        <v>42935</v>
      </c>
      <c r="B68" s="18">
        <v>147.529999</v>
      </c>
      <c r="C68" s="18">
        <v>2473.830078</v>
      </c>
      <c r="D68" s="18">
        <f t="shared" si="2"/>
        <v>-4.2012993506493485E-2</v>
      </c>
      <c r="E68" s="18">
        <f t="shared" si="3"/>
        <v>5.3726394776610524E-3</v>
      </c>
    </row>
    <row r="69" spans="1:5" x14ac:dyDescent="0.25">
      <c r="A69" s="27">
        <v>42934</v>
      </c>
      <c r="B69" s="18">
        <v>154</v>
      </c>
      <c r="C69" s="18">
        <v>2460.610107</v>
      </c>
      <c r="D69" s="18">
        <f t="shared" si="2"/>
        <v>6.470198237703337E-3</v>
      </c>
      <c r="E69" s="18">
        <f t="shared" si="3"/>
        <v>5.9785700040284034E-4</v>
      </c>
    </row>
    <row r="70" spans="1:5" x14ac:dyDescent="0.25">
      <c r="A70" s="27">
        <v>42933</v>
      </c>
      <c r="B70" s="18">
        <v>153.009995</v>
      </c>
      <c r="C70" s="18">
        <v>2459.139893</v>
      </c>
      <c r="D70" s="18">
        <f t="shared" si="2"/>
        <v>-7.9746496377511977E-3</v>
      </c>
      <c r="E70" s="18">
        <f t="shared" si="3"/>
        <v>-5.2912855823738372E-5</v>
      </c>
    </row>
    <row r="71" spans="1:5" x14ac:dyDescent="0.25">
      <c r="A71" s="27">
        <v>42930</v>
      </c>
      <c r="B71" s="18">
        <v>154.240005</v>
      </c>
      <c r="C71" s="18">
        <v>2459.2700199999999</v>
      </c>
      <c r="D71" s="18">
        <f t="shared" si="2"/>
        <v>3.9705785337960844E-3</v>
      </c>
      <c r="E71" s="18">
        <f t="shared" si="3"/>
        <v>4.6735033214997425E-3</v>
      </c>
    </row>
    <row r="72" spans="1:5" x14ac:dyDescent="0.25">
      <c r="A72" s="27">
        <v>42929</v>
      </c>
      <c r="B72" s="18">
        <v>153.63000500000001</v>
      </c>
      <c r="C72" s="18">
        <v>2447.830078</v>
      </c>
      <c r="D72" s="18">
        <f t="shared" si="2"/>
        <v>-4.5538062046927011E-4</v>
      </c>
      <c r="E72" s="18">
        <f t="shared" si="3"/>
        <v>1.8745842627647428E-3</v>
      </c>
    </row>
    <row r="73" spans="1:5" x14ac:dyDescent="0.25">
      <c r="A73" s="27">
        <v>42928</v>
      </c>
      <c r="B73" s="18">
        <v>153.699997</v>
      </c>
      <c r="C73" s="18">
        <v>2443.25</v>
      </c>
      <c r="D73" s="18">
        <f t="shared" si="2"/>
        <v>3.3291663512087658E-3</v>
      </c>
      <c r="E73" s="18">
        <f t="shared" si="3"/>
        <v>7.3056077591855647E-3</v>
      </c>
    </row>
    <row r="74" spans="1:5" x14ac:dyDescent="0.25">
      <c r="A74" s="27">
        <v>42927</v>
      </c>
      <c r="B74" s="18">
        <v>153.19000199999999</v>
      </c>
      <c r="C74" s="18">
        <v>2425.530029</v>
      </c>
      <c r="D74" s="18">
        <f t="shared" si="2"/>
        <v>-1.4991266001711191E-3</v>
      </c>
      <c r="E74" s="18">
        <f t="shared" si="3"/>
        <v>-7.8268088192956942E-4</v>
      </c>
    </row>
    <row r="75" spans="1:5" x14ac:dyDescent="0.25">
      <c r="A75" s="27">
        <v>42926</v>
      </c>
      <c r="B75" s="18">
        <v>153.41999799999999</v>
      </c>
      <c r="C75" s="18">
        <v>2427.429932</v>
      </c>
      <c r="D75" s="18">
        <f t="shared" si="2"/>
        <v>3.1384594855700335E-3</v>
      </c>
      <c r="E75" s="18">
        <f t="shared" si="3"/>
        <v>9.2776621244118065E-4</v>
      </c>
    </row>
    <row r="76" spans="1:5" x14ac:dyDescent="0.25">
      <c r="A76" s="27">
        <v>42923</v>
      </c>
      <c r="B76" s="18">
        <v>152.94000199999999</v>
      </c>
      <c r="C76" s="18">
        <v>2425.179932</v>
      </c>
      <c r="D76" s="18">
        <f t="shared" si="2"/>
        <v>3.8067799697637278E-3</v>
      </c>
      <c r="E76" s="18">
        <f t="shared" si="3"/>
        <v>6.4031256354393643E-3</v>
      </c>
    </row>
    <row r="77" spans="1:5" x14ac:dyDescent="0.25">
      <c r="A77" s="27">
        <v>42922</v>
      </c>
      <c r="B77" s="18">
        <v>152.36000100000001</v>
      </c>
      <c r="C77" s="18">
        <v>2409.75</v>
      </c>
      <c r="D77" s="18">
        <f t="shared" si="2"/>
        <v>-8.5247414397700543E-3</v>
      </c>
      <c r="E77" s="18">
        <f t="shared" si="3"/>
        <v>-9.3688237951342433E-3</v>
      </c>
    </row>
    <row r="78" spans="1:5" x14ac:dyDescent="0.25">
      <c r="A78" s="27">
        <v>42921</v>
      </c>
      <c r="B78" s="18">
        <v>153.66999799999999</v>
      </c>
      <c r="C78" s="18">
        <v>2432.540039</v>
      </c>
      <c r="D78" s="18">
        <f t="shared" si="2"/>
        <v>-1.2276667794360967E-2</v>
      </c>
      <c r="E78" s="18">
        <f t="shared" si="3"/>
        <v>1.4532789018848109E-3</v>
      </c>
    </row>
    <row r="79" spans="1:5" x14ac:dyDescent="0.25">
      <c r="A79" s="27">
        <v>42919</v>
      </c>
      <c r="B79" s="18">
        <v>155.58000200000001</v>
      </c>
      <c r="C79" s="18">
        <v>2429.01001</v>
      </c>
      <c r="D79" s="18">
        <f t="shared" si="2"/>
        <v>1.1376194352516487E-2</v>
      </c>
      <c r="E79" s="18">
        <f t="shared" si="3"/>
        <v>2.3108339915050612E-3</v>
      </c>
    </row>
    <row r="80" spans="1:5" x14ac:dyDescent="0.25">
      <c r="A80" s="27">
        <v>42916</v>
      </c>
      <c r="B80" s="18">
        <v>153.83000200000001</v>
      </c>
      <c r="C80" s="18">
        <v>2423.4099120000001</v>
      </c>
      <c r="D80" s="18">
        <f t="shared" si="2"/>
        <v>-1.9464282765708323E-3</v>
      </c>
      <c r="E80" s="18">
        <f t="shared" si="3"/>
        <v>1.5332318366443696E-3</v>
      </c>
    </row>
    <row r="81" spans="1:5" x14ac:dyDescent="0.25">
      <c r="A81" s="27">
        <v>42915</v>
      </c>
      <c r="B81" s="18">
        <v>154.13000500000001</v>
      </c>
      <c r="C81" s="18">
        <v>2419.6999510000001</v>
      </c>
      <c r="D81" s="18">
        <f t="shared" si="2"/>
        <v>-7.6616143855826159E-3</v>
      </c>
      <c r="E81" s="18">
        <f t="shared" si="3"/>
        <v>-8.6000231522239193E-3</v>
      </c>
    </row>
    <row r="82" spans="1:5" x14ac:dyDescent="0.25">
      <c r="A82" s="27">
        <v>42914</v>
      </c>
      <c r="B82" s="18">
        <v>155.320007</v>
      </c>
      <c r="C82" s="18">
        <v>2440.6899410000001</v>
      </c>
      <c r="D82" s="18">
        <f t="shared" si="2"/>
        <v>3.6834054927302354E-3</v>
      </c>
      <c r="E82" s="18">
        <f t="shared" si="3"/>
        <v>8.8080661287370157E-3</v>
      </c>
    </row>
    <row r="83" spans="1:5" x14ac:dyDescent="0.25">
      <c r="A83" s="27">
        <v>42913</v>
      </c>
      <c r="B83" s="18">
        <v>154.75</v>
      </c>
      <c r="C83" s="18">
        <v>2419.3798830000001</v>
      </c>
      <c r="D83" s="18">
        <f t="shared" si="2"/>
        <v>-3.0921601002940171E-3</v>
      </c>
      <c r="E83" s="18">
        <f t="shared" si="3"/>
        <v>-8.0728246631084181E-3</v>
      </c>
    </row>
    <row r="84" spans="1:5" x14ac:dyDescent="0.25">
      <c r="A84" s="27">
        <v>42912</v>
      </c>
      <c r="B84" s="18">
        <v>155.229996</v>
      </c>
      <c r="C84" s="18">
        <v>2439.070068</v>
      </c>
      <c r="D84" s="18">
        <f t="shared" si="2"/>
        <v>7.2675036839431901E-3</v>
      </c>
      <c r="E84" s="18">
        <f t="shared" si="3"/>
        <v>3.158015767238528E-4</v>
      </c>
    </row>
    <row r="85" spans="1:5" x14ac:dyDescent="0.25">
      <c r="A85" s="27">
        <v>42909</v>
      </c>
      <c r="B85" s="18">
        <v>154.11000100000001</v>
      </c>
      <c r="C85" s="18">
        <v>2438.3000489999999</v>
      </c>
      <c r="D85" s="18">
        <f t="shared" si="2"/>
        <v>-1.8781930781680038E-3</v>
      </c>
      <c r="E85" s="18">
        <f t="shared" si="3"/>
        <v>1.5609155884164898E-3</v>
      </c>
    </row>
    <row r="86" spans="1:5" x14ac:dyDescent="0.25">
      <c r="A86" s="27">
        <v>42908</v>
      </c>
      <c r="B86" s="18">
        <v>154.39999399999999</v>
      </c>
      <c r="C86" s="18">
        <v>2434.5</v>
      </c>
      <c r="D86" s="18">
        <f t="shared" si="2"/>
        <v>3.9664544363428294E-3</v>
      </c>
      <c r="E86" s="18">
        <f t="shared" si="3"/>
        <v>-4.5578189908536577E-4</v>
      </c>
    </row>
    <row r="87" spans="1:5" x14ac:dyDescent="0.25">
      <c r="A87" s="27">
        <v>42907</v>
      </c>
      <c r="B87" s="18">
        <v>153.78999300000001</v>
      </c>
      <c r="C87" s="18">
        <v>2435.610107</v>
      </c>
      <c r="D87" s="18">
        <f t="shared" si="2"/>
        <v>-7.4863118583989811E-3</v>
      </c>
      <c r="E87" s="18">
        <f t="shared" si="3"/>
        <v>-5.8264444143213401E-4</v>
      </c>
    </row>
    <row r="88" spans="1:5" x14ac:dyDescent="0.25">
      <c r="A88" s="27">
        <v>42906</v>
      </c>
      <c r="B88" s="18">
        <v>154.949997</v>
      </c>
      <c r="C88" s="18">
        <v>2437.030029</v>
      </c>
      <c r="D88" s="18">
        <f t="shared" si="2"/>
        <v>7.1041722320880634E-4</v>
      </c>
      <c r="E88" s="18">
        <f t="shared" si="3"/>
        <v>-6.6966375083224797E-3</v>
      </c>
    </row>
    <row r="89" spans="1:5" x14ac:dyDescent="0.25">
      <c r="A89" s="27">
        <v>42905</v>
      </c>
      <c r="B89" s="18">
        <v>154.83999600000001</v>
      </c>
      <c r="C89" s="18">
        <v>2453.459961</v>
      </c>
      <c r="D89" s="18">
        <f t="shared" si="2"/>
        <v>-3.4754085636694225E-3</v>
      </c>
      <c r="E89" s="18">
        <f t="shared" si="3"/>
        <v>8.3472288260190847E-3</v>
      </c>
    </row>
    <row r="90" spans="1:5" x14ac:dyDescent="0.25">
      <c r="A90" s="27">
        <v>42902</v>
      </c>
      <c r="B90" s="18">
        <v>155.38000500000001</v>
      </c>
      <c r="C90" s="18">
        <v>2433.1499020000001</v>
      </c>
      <c r="D90" s="18">
        <f t="shared" si="2"/>
        <v>7.5217481032179151E-3</v>
      </c>
      <c r="E90" s="18">
        <f t="shared" si="3"/>
        <v>2.8363920108121762E-4</v>
      </c>
    </row>
    <row r="91" spans="1:5" x14ac:dyDescent="0.25">
      <c r="A91" s="27">
        <v>42901</v>
      </c>
      <c r="B91" s="18">
        <v>154.220001</v>
      </c>
      <c r="C91" s="18">
        <v>2432.459961</v>
      </c>
      <c r="D91" s="18">
        <f t="shared" si="2"/>
        <v>2.6656459614542677E-3</v>
      </c>
      <c r="E91" s="18">
        <f t="shared" si="3"/>
        <v>-2.2395981716744925E-3</v>
      </c>
    </row>
    <row r="92" spans="1:5" x14ac:dyDescent="0.25">
      <c r="A92" s="27">
        <v>42900</v>
      </c>
      <c r="B92" s="18">
        <v>153.80999800000001</v>
      </c>
      <c r="C92" s="18">
        <v>2437.919922</v>
      </c>
      <c r="D92" s="18">
        <f t="shared" si="2"/>
        <v>-2.8525251215558681E-3</v>
      </c>
      <c r="E92" s="18">
        <f t="shared" si="3"/>
        <v>-9.9583088590096507E-4</v>
      </c>
    </row>
    <row r="93" spans="1:5" x14ac:dyDescent="0.25">
      <c r="A93" s="27">
        <v>42899</v>
      </c>
      <c r="B93" s="18">
        <v>154.25</v>
      </c>
      <c r="C93" s="18">
        <v>2440.3500979999999</v>
      </c>
      <c r="D93" s="18">
        <f t="shared" si="2"/>
        <v>-5.9929955016816893E-3</v>
      </c>
      <c r="E93" s="18">
        <f t="shared" si="3"/>
        <v>4.5115051443905306E-3</v>
      </c>
    </row>
    <row r="94" spans="1:5" x14ac:dyDescent="0.25">
      <c r="A94" s="27">
        <v>42898</v>
      </c>
      <c r="B94" s="18">
        <v>155.179993</v>
      </c>
      <c r="C94" s="18">
        <v>2429.389893</v>
      </c>
      <c r="D94" s="18">
        <f t="shared" si="2"/>
        <v>7.00835144678702E-3</v>
      </c>
      <c r="E94" s="18">
        <f t="shared" si="3"/>
        <v>-9.7876319735198578E-4</v>
      </c>
    </row>
    <row r="95" spans="1:5" x14ac:dyDescent="0.25">
      <c r="A95" s="27">
        <v>42895</v>
      </c>
      <c r="B95" s="18">
        <v>154.10000600000001</v>
      </c>
      <c r="C95" s="18">
        <v>2431.7700199999999</v>
      </c>
      <c r="D95" s="18">
        <f t="shared" si="2"/>
        <v>1.314924339976686E-2</v>
      </c>
      <c r="E95" s="18">
        <f t="shared" si="3"/>
        <v>-8.2998901615606764E-4</v>
      </c>
    </row>
    <row r="96" spans="1:5" x14ac:dyDescent="0.25">
      <c r="A96" s="27">
        <v>42894</v>
      </c>
      <c r="B96" s="18">
        <v>152.10000600000001</v>
      </c>
      <c r="C96" s="18">
        <v>2433.790039</v>
      </c>
      <c r="D96" s="18">
        <f t="shared" si="2"/>
        <v>7.4182675167113379E-3</v>
      </c>
      <c r="E96" s="18">
        <f t="shared" si="3"/>
        <v>2.6720452936979968E-4</v>
      </c>
    </row>
    <row r="97" spans="1:5" x14ac:dyDescent="0.25">
      <c r="A97" s="27">
        <v>42893</v>
      </c>
      <c r="B97" s="18">
        <v>150.979996</v>
      </c>
      <c r="C97" s="18">
        <v>2433.139893</v>
      </c>
      <c r="D97" s="18">
        <f t="shared" si="2"/>
        <v>-9.122524418275324E-3</v>
      </c>
      <c r="E97" s="18">
        <f t="shared" si="3"/>
        <v>1.5682574527445799E-3</v>
      </c>
    </row>
    <row r="98" spans="1:5" x14ac:dyDescent="0.25">
      <c r="A98" s="27">
        <v>42892</v>
      </c>
      <c r="B98" s="18">
        <v>152.36999499999999</v>
      </c>
      <c r="C98" s="18">
        <v>2429.330078</v>
      </c>
      <c r="D98" s="18">
        <f t="shared" si="2"/>
        <v>-2.6250901482817196E-4</v>
      </c>
      <c r="E98" s="18">
        <f t="shared" si="3"/>
        <v>-2.7790401574869653E-3</v>
      </c>
    </row>
    <row r="99" spans="1:5" x14ac:dyDescent="0.25">
      <c r="A99" s="27">
        <v>42891</v>
      </c>
      <c r="B99" s="18">
        <v>152.41000399999999</v>
      </c>
      <c r="C99" s="18">
        <v>2436.1000979999999</v>
      </c>
      <c r="D99" s="18">
        <f t="shared" si="2"/>
        <v>2.3676487530222717E-3</v>
      </c>
      <c r="E99" s="18">
        <f t="shared" si="3"/>
        <v>-1.217664895717995E-3</v>
      </c>
    </row>
    <row r="100" spans="1:5" x14ac:dyDescent="0.25">
      <c r="A100" s="27">
        <v>42888</v>
      </c>
      <c r="B100" s="18">
        <v>152.050003</v>
      </c>
      <c r="C100" s="18">
        <v>2439.070068</v>
      </c>
      <c r="D100" s="18">
        <f t="shared" si="2"/>
        <v>-4.0610140048602658E-3</v>
      </c>
      <c r="E100" s="18">
        <f t="shared" si="3"/>
        <v>3.7077309948083397E-3</v>
      </c>
    </row>
    <row r="101" spans="1:5" x14ac:dyDescent="0.25">
      <c r="A101" s="27">
        <v>42887</v>
      </c>
      <c r="B101" s="18">
        <v>152.66999799999999</v>
      </c>
      <c r="C101" s="18">
        <v>2430.0600589999999</v>
      </c>
      <c r="D101" s="18">
        <f t="shared" si="2"/>
        <v>2.620258054763301E-4</v>
      </c>
      <c r="E101" s="18">
        <f t="shared" si="3"/>
        <v>7.5711127079423849E-3</v>
      </c>
    </row>
    <row r="102" spans="1:5" x14ac:dyDescent="0.25">
      <c r="A102" s="27">
        <v>42886</v>
      </c>
      <c r="B102" s="18">
        <v>152.63000500000001</v>
      </c>
      <c r="C102" s="18">
        <v>2411.8000489999999</v>
      </c>
      <c r="D102" s="18">
        <f t="shared" si="2"/>
        <v>5.931648479052299E-3</v>
      </c>
      <c r="E102" s="18">
        <f t="shared" si="3"/>
        <v>-4.5996868531249669E-4</v>
      </c>
    </row>
    <row r="103" spans="1:5" x14ac:dyDescent="0.25">
      <c r="A103" s="27">
        <v>42885</v>
      </c>
      <c r="B103" s="18">
        <v>151.729996</v>
      </c>
      <c r="C103" s="18">
        <v>2412.9099120000001</v>
      </c>
      <c r="D103" s="18">
        <f t="shared" si="2"/>
        <v>-4.9839922295234797E-3</v>
      </c>
      <c r="E103" s="18">
        <f t="shared" si="3"/>
        <v>-1.2046244828196847E-3</v>
      </c>
    </row>
    <row r="104" spans="1:5" x14ac:dyDescent="0.25">
      <c r="A104" s="27">
        <v>42881</v>
      </c>
      <c r="B104" s="18">
        <v>152.490005</v>
      </c>
      <c r="C104" s="18">
        <v>2415.820068</v>
      </c>
      <c r="D104" s="18">
        <f t="shared" si="2"/>
        <v>-4.6344126233892795E-3</v>
      </c>
      <c r="E104" s="18">
        <f t="shared" si="3"/>
        <v>3.1054999601775528E-4</v>
      </c>
    </row>
    <row r="105" spans="1:5" x14ac:dyDescent="0.25">
      <c r="A105" s="27">
        <v>42880</v>
      </c>
      <c r="B105" s="18">
        <v>153.199997</v>
      </c>
      <c r="C105" s="18">
        <v>2415.070068</v>
      </c>
      <c r="D105" s="18">
        <f t="shared" si="2"/>
        <v>4.5243067511738667E-3</v>
      </c>
      <c r="E105" s="18">
        <f t="shared" si="3"/>
        <v>4.4419480513928295E-3</v>
      </c>
    </row>
    <row r="106" spans="1:5" x14ac:dyDescent="0.25">
      <c r="A106" s="27">
        <v>42879</v>
      </c>
      <c r="B106" s="18">
        <v>152.509995</v>
      </c>
      <c r="C106" s="18">
        <v>2404.389893</v>
      </c>
      <c r="D106" s="18">
        <f t="shared" si="2"/>
        <v>3.1572453013039869E-3</v>
      </c>
      <c r="E106" s="18">
        <f t="shared" si="3"/>
        <v>2.4891266726227547E-3</v>
      </c>
    </row>
    <row r="107" spans="1:5" x14ac:dyDescent="0.25">
      <c r="A107" s="27">
        <v>42878</v>
      </c>
      <c r="B107" s="18">
        <v>152.029999</v>
      </c>
      <c r="C107" s="18">
        <v>2398.419922</v>
      </c>
      <c r="D107" s="18">
        <f t="shared" si="2"/>
        <v>-3.9963312630785933E-3</v>
      </c>
      <c r="E107" s="18">
        <f t="shared" si="3"/>
        <v>1.8378718487074769E-3</v>
      </c>
    </row>
    <row r="108" spans="1:5" x14ac:dyDescent="0.25">
      <c r="A108" s="27">
        <v>42877</v>
      </c>
      <c r="B108" s="18">
        <v>152.63999899999999</v>
      </c>
      <c r="C108" s="18">
        <v>2394.0200199999999</v>
      </c>
      <c r="D108" s="18">
        <f t="shared" si="2"/>
        <v>4.3426965217184836E-3</v>
      </c>
      <c r="E108" s="18">
        <f t="shared" si="3"/>
        <v>5.1601315443826519E-3</v>
      </c>
    </row>
    <row r="109" spans="1:5" x14ac:dyDescent="0.25">
      <c r="A109" s="27">
        <v>42874</v>
      </c>
      <c r="B109" s="18">
        <v>151.979996</v>
      </c>
      <c r="C109" s="18">
        <v>2381.7299800000001</v>
      </c>
      <c r="D109" s="18">
        <f t="shared" si="2"/>
        <v>7.958595357199838E-3</v>
      </c>
      <c r="E109" s="18">
        <f t="shared" si="3"/>
        <v>6.7674996179841957E-3</v>
      </c>
    </row>
    <row r="110" spans="1:5" x14ac:dyDescent="0.25">
      <c r="A110" s="27">
        <v>42873</v>
      </c>
      <c r="B110" s="18">
        <v>150.779999</v>
      </c>
      <c r="C110" s="18">
        <v>2365.719971</v>
      </c>
      <c r="D110" s="18">
        <f t="shared" si="2"/>
        <v>-9.9379849570384879E-4</v>
      </c>
      <c r="E110" s="18">
        <f t="shared" si="3"/>
        <v>3.686818535649625E-3</v>
      </c>
    </row>
    <row r="111" spans="1:5" x14ac:dyDescent="0.25">
      <c r="A111" s="27">
        <v>42872</v>
      </c>
      <c r="B111" s="18">
        <v>150.929993</v>
      </c>
      <c r="C111" s="18">
        <v>2357.030029</v>
      </c>
      <c r="D111" s="18">
        <f t="shared" si="2"/>
        <v>-1.789432668701384E-2</v>
      </c>
      <c r="E111" s="18">
        <f t="shared" si="3"/>
        <v>-1.8178214589219161E-2</v>
      </c>
    </row>
    <row r="112" spans="1:5" x14ac:dyDescent="0.25">
      <c r="A112" s="27">
        <v>42871</v>
      </c>
      <c r="B112" s="18">
        <v>153.679993</v>
      </c>
      <c r="C112" s="18">
        <v>2400.669922</v>
      </c>
      <c r="D112" s="18">
        <f t="shared" si="2"/>
        <v>1.432247423676565E-2</v>
      </c>
      <c r="E112" s="18">
        <f t="shared" si="3"/>
        <v>-6.8689681361807189E-4</v>
      </c>
    </row>
    <row r="113" spans="1:5" x14ac:dyDescent="0.25">
      <c r="A113" s="27">
        <v>42870</v>
      </c>
      <c r="B113" s="18">
        <v>151.509995</v>
      </c>
      <c r="C113" s="18">
        <v>2402.320068</v>
      </c>
      <c r="D113" s="18">
        <f t="shared" si="2"/>
        <v>7.5812997134169944E-3</v>
      </c>
      <c r="E113" s="18">
        <f t="shared" si="3"/>
        <v>4.7765136426024587E-3</v>
      </c>
    </row>
    <row r="114" spans="1:5" x14ac:dyDescent="0.25">
      <c r="A114" s="27">
        <v>42867</v>
      </c>
      <c r="B114" s="18">
        <v>150.36999499999999</v>
      </c>
      <c r="C114" s="18">
        <v>2390.8999020000001</v>
      </c>
      <c r="D114" s="18">
        <f t="shared" si="2"/>
        <v>-1.8586061145147053E-3</v>
      </c>
      <c r="E114" s="18">
        <f t="shared" si="3"/>
        <v>-1.4784413421209208E-3</v>
      </c>
    </row>
    <row r="115" spans="1:5" x14ac:dyDescent="0.25">
      <c r="A115" s="27">
        <v>42866</v>
      </c>
      <c r="B115" s="18">
        <v>150.64999399999999</v>
      </c>
      <c r="C115" s="18">
        <v>2394.4399410000001</v>
      </c>
      <c r="D115" s="18">
        <f t="shared" si="2"/>
        <v>-3.9669818181818682E-3</v>
      </c>
      <c r="E115" s="18">
        <f t="shared" si="3"/>
        <v>-2.1628093718817775E-3</v>
      </c>
    </row>
    <row r="116" spans="1:5" x14ac:dyDescent="0.25">
      <c r="A116" s="27">
        <v>42865</v>
      </c>
      <c r="B116" s="18">
        <v>151.25</v>
      </c>
      <c r="C116" s="18">
        <v>2399.6298830000001</v>
      </c>
      <c r="D116" s="18">
        <f t="shared" si="2"/>
        <v>-5.6538097057800361E-3</v>
      </c>
      <c r="E116" s="18">
        <f t="shared" si="3"/>
        <v>1.1306013918641129E-3</v>
      </c>
    </row>
    <row r="117" spans="1:5" x14ac:dyDescent="0.25">
      <c r="A117" s="27">
        <v>42864</v>
      </c>
      <c r="B117" s="18">
        <v>152.11000100000001</v>
      </c>
      <c r="C117" s="18">
        <v>2396.919922</v>
      </c>
      <c r="D117" s="18">
        <f t="shared" si="2"/>
        <v>-6.0118800628103809E-3</v>
      </c>
      <c r="E117" s="18">
        <f t="shared" si="3"/>
        <v>-1.0252486558836506E-3</v>
      </c>
    </row>
    <row r="118" spans="1:5" x14ac:dyDescent="0.25">
      <c r="A118" s="27">
        <v>42863</v>
      </c>
      <c r="B118" s="18">
        <v>153.029999</v>
      </c>
      <c r="C118" s="18">
        <v>2399.3798830000001</v>
      </c>
      <c r="D118" s="18">
        <f t="shared" si="2"/>
        <v>-1.302808101203326E-2</v>
      </c>
      <c r="E118" s="18">
        <f t="shared" si="3"/>
        <v>3.7446077189371702E-5</v>
      </c>
    </row>
    <row r="119" spans="1:5" x14ac:dyDescent="0.25">
      <c r="A119" s="27">
        <v>42860</v>
      </c>
      <c r="B119" s="18">
        <v>155.050003</v>
      </c>
      <c r="C119" s="18">
        <v>2399.290039</v>
      </c>
      <c r="D119" s="18">
        <f t="shared" si="2"/>
        <v>-2.5149323637548123E-2</v>
      </c>
      <c r="E119" s="18">
        <f t="shared" si="3"/>
        <v>4.0886951849016303E-3</v>
      </c>
    </row>
    <row r="120" spans="1:5" x14ac:dyDescent="0.25">
      <c r="A120" s="27">
        <v>42859</v>
      </c>
      <c r="B120" s="18">
        <v>159.050003</v>
      </c>
      <c r="C120" s="18">
        <v>2389.5200199999999</v>
      </c>
      <c r="D120" s="18">
        <f t="shared" si="2"/>
        <v>2.6476579887896525E-3</v>
      </c>
      <c r="E120" s="18">
        <f t="shared" si="3"/>
        <v>5.8210276161929663E-4</v>
      </c>
    </row>
    <row r="121" spans="1:5" x14ac:dyDescent="0.25">
      <c r="A121" s="27">
        <v>42858</v>
      </c>
      <c r="B121" s="18">
        <v>158.63000500000001</v>
      </c>
      <c r="C121" s="18">
        <v>2388.1298830000001</v>
      </c>
      <c r="D121" s="18">
        <f t="shared" si="2"/>
        <v>-2.9541230815541032E-3</v>
      </c>
      <c r="E121" s="18">
        <f t="shared" si="3"/>
        <v>-1.271360505177841E-3</v>
      </c>
    </row>
    <row r="122" spans="1:5" x14ac:dyDescent="0.25">
      <c r="A122" s="27">
        <v>42857</v>
      </c>
      <c r="B122" s="18">
        <v>159.10000600000001</v>
      </c>
      <c r="C122" s="18">
        <v>2391.169922</v>
      </c>
      <c r="D122" s="18">
        <f t="shared" si="2"/>
        <v>1.6369302854930446E-3</v>
      </c>
      <c r="E122" s="18">
        <f t="shared" si="3"/>
        <v>1.1890500505600905E-3</v>
      </c>
    </row>
    <row r="123" spans="1:5" x14ac:dyDescent="0.25">
      <c r="A123" s="27">
        <v>42856</v>
      </c>
      <c r="B123" s="18">
        <v>158.83999600000001</v>
      </c>
      <c r="C123" s="18">
        <v>2388.330078</v>
      </c>
      <c r="D123" s="18">
        <f t="shared" si="2"/>
        <v>-9.0460856155879683E-3</v>
      </c>
      <c r="E123" s="18">
        <f t="shared" si="3"/>
        <v>1.7322905313657151E-3</v>
      </c>
    </row>
    <row r="124" spans="1:5" x14ac:dyDescent="0.25">
      <c r="A124" s="27">
        <v>42853</v>
      </c>
      <c r="B124" s="18">
        <v>160.28999300000001</v>
      </c>
      <c r="C124" s="18">
        <v>2384.1999510000001</v>
      </c>
      <c r="D124" s="18">
        <f t="shared" si="2"/>
        <v>-1.8721306567803613E-4</v>
      </c>
      <c r="E124" s="18">
        <f t="shared" si="3"/>
        <v>-1.9131473359665974E-3</v>
      </c>
    </row>
    <row r="125" spans="1:5" x14ac:dyDescent="0.25">
      <c r="A125" s="27">
        <v>42852</v>
      </c>
      <c r="B125" s="18">
        <v>160.320007</v>
      </c>
      <c r="C125" s="18">
        <v>2388.7700199999999</v>
      </c>
      <c r="D125" s="18">
        <f t="shared" si="2"/>
        <v>1.6244471026420767E-3</v>
      </c>
      <c r="E125" s="18">
        <f t="shared" si="3"/>
        <v>5.5292007250118717E-4</v>
      </c>
    </row>
    <row r="126" spans="1:5" x14ac:dyDescent="0.25">
      <c r="A126" s="27">
        <v>42851</v>
      </c>
      <c r="B126" s="18">
        <v>160.05999800000001</v>
      </c>
      <c r="C126" s="18">
        <v>2387.4499510000001</v>
      </c>
      <c r="D126" s="18">
        <f t="shared" si="2"/>
        <v>-2.0574911282341336E-3</v>
      </c>
      <c r="E126" s="18">
        <f t="shared" si="3"/>
        <v>-4.8570337896502731E-4</v>
      </c>
    </row>
    <row r="127" spans="1:5" x14ac:dyDescent="0.25">
      <c r="A127" s="27">
        <v>42850</v>
      </c>
      <c r="B127" s="18">
        <v>160.38999899999999</v>
      </c>
      <c r="C127" s="18">
        <v>2388.610107</v>
      </c>
      <c r="D127" s="18">
        <f t="shared" si="2"/>
        <v>-2.2395085536548124E-3</v>
      </c>
      <c r="E127" s="18">
        <f t="shared" si="3"/>
        <v>6.0906874447222079E-3</v>
      </c>
    </row>
    <row r="128" spans="1:5" x14ac:dyDescent="0.25">
      <c r="A128" s="27">
        <v>42849</v>
      </c>
      <c r="B128" s="18">
        <v>160.75</v>
      </c>
      <c r="C128" s="18">
        <v>2374.1499020000001</v>
      </c>
      <c r="D128" s="18">
        <f t="shared" si="2"/>
        <v>2.3069895776595636E-3</v>
      </c>
      <c r="E128" s="18">
        <f t="shared" si="3"/>
        <v>1.0840068991465068E-2</v>
      </c>
    </row>
    <row r="129" spans="1:5" x14ac:dyDescent="0.25">
      <c r="A129" s="27">
        <v>42846</v>
      </c>
      <c r="B129" s="18">
        <v>160.38000500000001</v>
      </c>
      <c r="C129" s="18">
        <v>2348.6899410000001</v>
      </c>
      <c r="D129" s="18">
        <f t="shared" si="2"/>
        <v>-1.1829932005608111E-2</v>
      </c>
      <c r="E129" s="18">
        <f t="shared" si="3"/>
        <v>-3.0350731513657109E-3</v>
      </c>
    </row>
    <row r="130" spans="1:5" x14ac:dyDescent="0.25">
      <c r="A130" s="27">
        <v>42845</v>
      </c>
      <c r="B130" s="18">
        <v>162.300003</v>
      </c>
      <c r="C130" s="18">
        <v>2355.8400879999999</v>
      </c>
      <c r="D130" s="18">
        <f t="shared" si="2"/>
        <v>3.7726575079145039E-3</v>
      </c>
      <c r="E130" s="18">
        <f t="shared" si="3"/>
        <v>7.5572634109010153E-3</v>
      </c>
    </row>
    <row r="131" spans="1:5" x14ac:dyDescent="0.25">
      <c r="A131" s="27">
        <v>42844</v>
      </c>
      <c r="B131" s="18">
        <v>161.69000199999999</v>
      </c>
      <c r="C131" s="18">
        <v>2338.169922</v>
      </c>
      <c r="D131" s="18">
        <f t="shared" ref="D131:D194" si="4">(B131-B132)/B132</f>
        <v>-4.9162016186497869E-2</v>
      </c>
      <c r="E131" s="18">
        <f t="shared" ref="E131:E194" si="5">(C131-C132)/C132</f>
        <v>-1.7163505528008957E-3</v>
      </c>
    </row>
    <row r="132" spans="1:5" x14ac:dyDescent="0.25">
      <c r="A132" s="27">
        <v>42843</v>
      </c>
      <c r="B132" s="18">
        <v>170.050003</v>
      </c>
      <c r="C132" s="18">
        <v>2342.1899410000001</v>
      </c>
      <c r="D132" s="18">
        <f t="shared" si="4"/>
        <v>-6.1367794458172245E-3</v>
      </c>
      <c r="E132" s="18">
        <f t="shared" si="5"/>
        <v>-2.9033801350211684E-3</v>
      </c>
    </row>
    <row r="133" spans="1:5" x14ac:dyDescent="0.25">
      <c r="A133" s="27">
        <v>42842</v>
      </c>
      <c r="B133" s="18">
        <v>171.10000600000001</v>
      </c>
      <c r="C133" s="18">
        <v>2349.01001</v>
      </c>
      <c r="D133" s="18">
        <f t="shared" si="4"/>
        <v>9.2609391214589932E-3</v>
      </c>
      <c r="E133" s="18">
        <f t="shared" si="5"/>
        <v>8.6133491152897302E-3</v>
      </c>
    </row>
    <row r="134" spans="1:5" x14ac:dyDescent="0.25">
      <c r="A134" s="27">
        <v>42838</v>
      </c>
      <c r="B134" s="18">
        <v>169.529999</v>
      </c>
      <c r="C134" s="18">
        <v>2328.9499510000001</v>
      </c>
      <c r="D134" s="18">
        <f t="shared" si="4"/>
        <v>-6.6213815394026527E-3</v>
      </c>
      <c r="E134" s="18">
        <f t="shared" si="5"/>
        <v>-6.814694452883103E-3</v>
      </c>
    </row>
    <row r="135" spans="1:5" x14ac:dyDescent="0.25">
      <c r="A135" s="27">
        <v>42837</v>
      </c>
      <c r="B135" s="18">
        <v>170.66000399999999</v>
      </c>
      <c r="C135" s="18">
        <v>2344.929932</v>
      </c>
      <c r="D135" s="18">
        <f t="shared" si="4"/>
        <v>4.6899987725395286E-4</v>
      </c>
      <c r="E135" s="18">
        <f t="shared" si="5"/>
        <v>-3.7599507562140187E-3</v>
      </c>
    </row>
    <row r="136" spans="1:5" x14ac:dyDescent="0.25">
      <c r="A136" s="27">
        <v>42836</v>
      </c>
      <c r="B136" s="18">
        <v>170.58000200000001</v>
      </c>
      <c r="C136" s="18">
        <v>2353.780029</v>
      </c>
      <c r="D136" s="18">
        <f t="shared" si="4"/>
        <v>-3.6214661849555334E-3</v>
      </c>
      <c r="E136" s="18">
        <f t="shared" si="5"/>
        <v>-1.4338793828935876E-3</v>
      </c>
    </row>
    <row r="137" spans="1:5" x14ac:dyDescent="0.25">
      <c r="A137" s="27">
        <v>42835</v>
      </c>
      <c r="B137" s="18">
        <v>171.199997</v>
      </c>
      <c r="C137" s="18">
        <v>2357.1599120000001</v>
      </c>
      <c r="D137" s="18">
        <f t="shared" si="4"/>
        <v>-5.4606831965881026E-3</v>
      </c>
      <c r="E137" s="18">
        <f t="shared" si="5"/>
        <v>6.8768646390225837E-4</v>
      </c>
    </row>
    <row r="138" spans="1:5" x14ac:dyDescent="0.25">
      <c r="A138" s="27">
        <v>42832</v>
      </c>
      <c r="B138" s="18">
        <v>172.13999899999999</v>
      </c>
      <c r="C138" s="18">
        <v>2355.540039</v>
      </c>
      <c r="D138" s="18">
        <f t="shared" si="4"/>
        <v>-1.7976109329825465E-3</v>
      </c>
      <c r="E138" s="18">
        <f t="shared" si="5"/>
        <v>-8.2713012919306416E-4</v>
      </c>
    </row>
    <row r="139" spans="1:5" x14ac:dyDescent="0.25">
      <c r="A139" s="27">
        <v>42831</v>
      </c>
      <c r="B139" s="18">
        <v>172.449997</v>
      </c>
      <c r="C139" s="18">
        <v>2357.48999</v>
      </c>
      <c r="D139" s="18">
        <f t="shared" si="4"/>
        <v>-2.4873206129304255E-3</v>
      </c>
      <c r="E139" s="18">
        <f t="shared" si="5"/>
        <v>1.9295093795218506E-3</v>
      </c>
    </row>
    <row r="140" spans="1:5" x14ac:dyDescent="0.25">
      <c r="A140" s="27">
        <v>42830</v>
      </c>
      <c r="B140" s="18">
        <v>172.88000500000001</v>
      </c>
      <c r="C140" s="18">
        <v>2352.9499510000001</v>
      </c>
      <c r="D140" s="18">
        <f t="shared" si="4"/>
        <v>-9.397197813495288E-3</v>
      </c>
      <c r="E140" s="18">
        <f t="shared" si="5"/>
        <v>-3.0548612250134773E-3</v>
      </c>
    </row>
    <row r="141" spans="1:5" x14ac:dyDescent="0.25">
      <c r="A141" s="27">
        <v>42829</v>
      </c>
      <c r="B141" s="18">
        <v>174.520004</v>
      </c>
      <c r="C141" s="18">
        <v>2360.1599120000001</v>
      </c>
      <c r="D141" s="18">
        <f t="shared" si="4"/>
        <v>1.1463610315186322E-4</v>
      </c>
      <c r="E141" s="18">
        <f t="shared" si="5"/>
        <v>5.5952245627604127E-4</v>
      </c>
    </row>
    <row r="142" spans="1:5" x14ac:dyDescent="0.25">
      <c r="A142" s="27">
        <v>42828</v>
      </c>
      <c r="B142" s="18">
        <v>174.5</v>
      </c>
      <c r="C142" s="18">
        <v>2358.8400879999999</v>
      </c>
      <c r="D142" s="18">
        <f t="shared" si="4"/>
        <v>2.0673079250449009E-3</v>
      </c>
      <c r="E142" s="18">
        <f t="shared" si="5"/>
        <v>-1.642125621157694E-3</v>
      </c>
    </row>
    <row r="143" spans="1:5" x14ac:dyDescent="0.25">
      <c r="A143" s="27">
        <v>42825</v>
      </c>
      <c r="B143" s="18">
        <v>174.13999899999999</v>
      </c>
      <c r="C143" s="18">
        <v>2362.719971</v>
      </c>
      <c r="D143" s="18">
        <f t="shared" si="4"/>
        <v>1.6104796870441624E-3</v>
      </c>
      <c r="E143" s="18">
        <f t="shared" si="5"/>
        <v>-2.2550475355151978E-3</v>
      </c>
    </row>
    <row r="144" spans="1:5" x14ac:dyDescent="0.25">
      <c r="A144" s="27">
        <v>42824</v>
      </c>
      <c r="B144" s="18">
        <v>173.86000100000001</v>
      </c>
      <c r="C144" s="18">
        <v>2368.0600589999999</v>
      </c>
      <c r="D144" s="18">
        <f t="shared" si="4"/>
        <v>-4.5993445487014286E-4</v>
      </c>
      <c r="E144" s="18">
        <f t="shared" si="5"/>
        <v>2.9351100292689179E-3</v>
      </c>
    </row>
    <row r="145" spans="1:5" x14ac:dyDescent="0.25">
      <c r="A145" s="27">
        <v>42823</v>
      </c>
      <c r="B145" s="18">
        <v>173.94000199999999</v>
      </c>
      <c r="C145" s="18">
        <v>2361.1298830000001</v>
      </c>
      <c r="D145" s="18">
        <f t="shared" si="4"/>
        <v>-3.2662484461134208E-3</v>
      </c>
      <c r="E145" s="18">
        <f t="shared" si="5"/>
        <v>1.0853249749627838E-3</v>
      </c>
    </row>
    <row r="146" spans="1:5" x14ac:dyDescent="0.25">
      <c r="A146" s="27">
        <v>42822</v>
      </c>
      <c r="B146" s="18">
        <v>174.509995</v>
      </c>
      <c r="C146" s="18">
        <v>2358.570068</v>
      </c>
      <c r="D146" s="18">
        <f t="shared" si="4"/>
        <v>4.2584507277792514E-3</v>
      </c>
      <c r="E146" s="18">
        <f t="shared" si="5"/>
        <v>7.2514741529773972E-3</v>
      </c>
    </row>
    <row r="147" spans="1:5" x14ac:dyDescent="0.25">
      <c r="A147" s="27">
        <v>42821</v>
      </c>
      <c r="B147" s="18">
        <v>173.770004</v>
      </c>
      <c r="C147" s="18">
        <v>2341.5900879999999</v>
      </c>
      <c r="D147" s="18">
        <f t="shared" si="4"/>
        <v>-3.4515330673474492E-4</v>
      </c>
      <c r="E147" s="18">
        <f t="shared" si="5"/>
        <v>-1.0195872065426707E-3</v>
      </c>
    </row>
    <row r="148" spans="1:5" x14ac:dyDescent="0.25">
      <c r="A148" s="27">
        <v>42818</v>
      </c>
      <c r="B148" s="18">
        <v>173.83000200000001</v>
      </c>
      <c r="C148" s="18">
        <v>2343.9799800000001</v>
      </c>
      <c r="D148" s="18">
        <f t="shared" si="4"/>
        <v>-5.6629959979351586E-3</v>
      </c>
      <c r="E148" s="18">
        <f t="shared" si="5"/>
        <v>-8.4399607534476262E-4</v>
      </c>
    </row>
    <row r="149" spans="1:5" x14ac:dyDescent="0.25">
      <c r="A149" s="27">
        <v>42817</v>
      </c>
      <c r="B149" s="18">
        <v>174.820007</v>
      </c>
      <c r="C149" s="18">
        <v>2345.959961</v>
      </c>
      <c r="D149" s="18">
        <f t="shared" si="4"/>
        <v>2.2890491033816899E-4</v>
      </c>
      <c r="E149" s="18">
        <f t="shared" si="5"/>
        <v>-1.0602695616058434E-3</v>
      </c>
    </row>
    <row r="150" spans="1:5" x14ac:dyDescent="0.25">
      <c r="A150" s="27">
        <v>42816</v>
      </c>
      <c r="B150" s="18">
        <v>174.779999</v>
      </c>
      <c r="C150" s="18">
        <v>2348.4499510000001</v>
      </c>
      <c r="D150" s="18">
        <f t="shared" si="4"/>
        <v>5.175948781459906E-3</v>
      </c>
      <c r="E150" s="18">
        <f t="shared" si="5"/>
        <v>1.8898861623204584E-3</v>
      </c>
    </row>
    <row r="151" spans="1:5" x14ac:dyDescent="0.25">
      <c r="A151" s="27">
        <v>42815</v>
      </c>
      <c r="B151" s="18">
        <v>173.88000500000001</v>
      </c>
      <c r="C151" s="18">
        <v>2344.0200199999999</v>
      </c>
      <c r="D151" s="18">
        <f t="shared" si="4"/>
        <v>-1.0358520381761788E-2</v>
      </c>
      <c r="E151" s="18">
        <f t="shared" si="5"/>
        <v>-1.2407972866659898E-2</v>
      </c>
    </row>
    <row r="152" spans="1:5" x14ac:dyDescent="0.25">
      <c r="A152" s="27">
        <v>42814</v>
      </c>
      <c r="B152" s="18">
        <v>175.699997</v>
      </c>
      <c r="C152" s="18">
        <v>2373.469971</v>
      </c>
      <c r="D152" s="18">
        <f t="shared" si="4"/>
        <v>2.846740774725207E-4</v>
      </c>
      <c r="E152" s="18">
        <f t="shared" si="5"/>
        <v>-2.0098934090192425E-3</v>
      </c>
    </row>
    <row r="153" spans="1:5" x14ac:dyDescent="0.25">
      <c r="A153" s="27">
        <v>42811</v>
      </c>
      <c r="B153" s="18">
        <v>175.64999399999999</v>
      </c>
      <c r="C153" s="18">
        <v>2378.25</v>
      </c>
      <c r="D153" s="18">
        <f t="shared" si="4"/>
        <v>-8.9709487426385716E-3</v>
      </c>
      <c r="E153" s="18">
        <f t="shared" si="5"/>
        <v>-1.3143148736341548E-3</v>
      </c>
    </row>
    <row r="154" spans="1:5" x14ac:dyDescent="0.25">
      <c r="A154" s="27">
        <v>42810</v>
      </c>
      <c r="B154" s="18">
        <v>177.240005</v>
      </c>
      <c r="C154" s="18">
        <v>2381.3798830000001</v>
      </c>
      <c r="D154" s="18">
        <f t="shared" si="4"/>
        <v>8.1338206943156275E-3</v>
      </c>
      <c r="E154" s="18">
        <f t="shared" si="5"/>
        <v>-1.6267102889130742E-3</v>
      </c>
    </row>
    <row r="155" spans="1:5" x14ac:dyDescent="0.25">
      <c r="A155" s="27">
        <v>42809</v>
      </c>
      <c r="B155" s="18">
        <v>175.80999800000001</v>
      </c>
      <c r="C155" s="18">
        <v>2385.26001</v>
      </c>
      <c r="D155" s="18">
        <f t="shared" si="4"/>
        <v>5.1216139021084456E-4</v>
      </c>
      <c r="E155" s="18">
        <f t="shared" si="5"/>
        <v>8.3747529689331014E-3</v>
      </c>
    </row>
    <row r="156" spans="1:5" x14ac:dyDescent="0.25">
      <c r="A156" s="27">
        <v>42808</v>
      </c>
      <c r="B156" s="18">
        <v>175.720001</v>
      </c>
      <c r="C156" s="18">
        <v>2365.4499510000001</v>
      </c>
      <c r="D156" s="18">
        <f t="shared" si="4"/>
        <v>-4.1936187841134674E-3</v>
      </c>
      <c r="E156" s="18">
        <f t="shared" si="5"/>
        <v>-3.379027372577587E-3</v>
      </c>
    </row>
    <row r="157" spans="1:5" x14ac:dyDescent="0.25">
      <c r="A157" s="27">
        <v>42807</v>
      </c>
      <c r="B157" s="18">
        <v>176.46000699999999</v>
      </c>
      <c r="C157" s="18">
        <v>2373.469971</v>
      </c>
      <c r="D157" s="18">
        <f t="shared" si="4"/>
        <v>-7.7039587504476167E-3</v>
      </c>
      <c r="E157" s="18">
        <f t="shared" si="5"/>
        <v>3.6663279274638967E-4</v>
      </c>
    </row>
    <row r="158" spans="1:5" x14ac:dyDescent="0.25">
      <c r="A158" s="27">
        <v>42804</v>
      </c>
      <c r="B158" s="18">
        <v>177.83000200000001</v>
      </c>
      <c r="C158" s="18">
        <v>2372.6000979999999</v>
      </c>
      <c r="D158" s="18">
        <f t="shared" si="4"/>
        <v>3.6686365598852426E-3</v>
      </c>
      <c r="E158" s="18">
        <f t="shared" si="5"/>
        <v>3.2686704206005036E-3</v>
      </c>
    </row>
    <row r="159" spans="1:5" x14ac:dyDescent="0.25">
      <c r="A159" s="27">
        <v>42803</v>
      </c>
      <c r="B159" s="18">
        <v>177.179993</v>
      </c>
      <c r="C159" s="18">
        <v>2364.8701169999999</v>
      </c>
      <c r="D159" s="18">
        <f t="shared" si="4"/>
        <v>-1.2649785667034589E-2</v>
      </c>
      <c r="E159" s="18">
        <f t="shared" si="5"/>
        <v>7.9989547774326369E-4</v>
      </c>
    </row>
    <row r="160" spans="1:5" x14ac:dyDescent="0.25">
      <c r="A160" s="27">
        <v>42802</v>
      </c>
      <c r="B160" s="18">
        <v>179.449997</v>
      </c>
      <c r="C160" s="18">
        <v>2362.9799800000001</v>
      </c>
      <c r="D160" s="18">
        <f t="shared" si="4"/>
        <v>-5.1558264453979534E-3</v>
      </c>
      <c r="E160" s="18">
        <f t="shared" si="5"/>
        <v>-2.2842155406884099E-3</v>
      </c>
    </row>
    <row r="161" spans="1:5" x14ac:dyDescent="0.25">
      <c r="A161" s="27">
        <v>42801</v>
      </c>
      <c r="B161" s="18">
        <v>180.38000500000001</v>
      </c>
      <c r="C161" s="18">
        <v>2368.389893</v>
      </c>
      <c r="D161" s="18">
        <f t="shared" si="4"/>
        <v>-4.9867567740516101E-4</v>
      </c>
      <c r="E161" s="18">
        <f t="shared" si="5"/>
        <v>-2.9133737609452364E-3</v>
      </c>
    </row>
    <row r="162" spans="1:5" x14ac:dyDescent="0.25">
      <c r="A162" s="27">
        <v>42800</v>
      </c>
      <c r="B162" s="18">
        <v>180.470001</v>
      </c>
      <c r="C162" s="18">
        <v>2375.3100589999999</v>
      </c>
      <c r="D162" s="18">
        <f t="shared" si="4"/>
        <v>2.3326742182836428E-3</v>
      </c>
      <c r="E162" s="18">
        <f t="shared" si="5"/>
        <v>-3.2772405991149741E-3</v>
      </c>
    </row>
    <row r="163" spans="1:5" x14ac:dyDescent="0.25">
      <c r="A163" s="27">
        <v>42797</v>
      </c>
      <c r="B163" s="18">
        <v>180.050003</v>
      </c>
      <c r="C163" s="18">
        <v>2383.1201169999999</v>
      </c>
      <c r="D163" s="18">
        <f t="shared" si="4"/>
        <v>-2.6588157240282255E-3</v>
      </c>
      <c r="E163" s="18">
        <f t="shared" si="5"/>
        <v>5.0387714083693458E-4</v>
      </c>
    </row>
    <row r="164" spans="1:5" x14ac:dyDescent="0.25">
      <c r="A164" s="27">
        <v>42796</v>
      </c>
      <c r="B164" s="18">
        <v>180.529999</v>
      </c>
      <c r="C164" s="18">
        <v>2381.919922</v>
      </c>
      <c r="D164" s="18">
        <f t="shared" si="4"/>
        <v>-7.8043309888045373E-3</v>
      </c>
      <c r="E164" s="18">
        <f t="shared" si="5"/>
        <v>-5.8598804773599385E-3</v>
      </c>
    </row>
    <row r="165" spans="1:5" x14ac:dyDescent="0.25">
      <c r="A165" s="27">
        <v>42795</v>
      </c>
      <c r="B165" s="18">
        <v>181.949997</v>
      </c>
      <c r="C165" s="18">
        <v>2395.959961</v>
      </c>
      <c r="D165" s="18">
        <f t="shared" si="4"/>
        <v>1.1845122439573658E-2</v>
      </c>
      <c r="E165" s="18">
        <f t="shared" si="5"/>
        <v>1.3673854505382556E-2</v>
      </c>
    </row>
    <row r="166" spans="1:5" x14ac:dyDescent="0.25">
      <c r="A166" s="27">
        <v>42794</v>
      </c>
      <c r="B166" s="18">
        <v>179.820007</v>
      </c>
      <c r="C166" s="18">
        <v>2363.639893</v>
      </c>
      <c r="D166" s="18">
        <f t="shared" si="4"/>
        <v>2.3412096658153264E-3</v>
      </c>
      <c r="E166" s="18">
        <f t="shared" si="5"/>
        <v>-2.5783762000210868E-3</v>
      </c>
    </row>
    <row r="167" spans="1:5" x14ac:dyDescent="0.25">
      <c r="A167" s="27">
        <v>42793</v>
      </c>
      <c r="B167" s="18">
        <v>179.39999399999999</v>
      </c>
      <c r="C167" s="18">
        <v>2369.75</v>
      </c>
      <c r="D167" s="18">
        <f t="shared" si="4"/>
        <v>-1.075275398667489E-2</v>
      </c>
      <c r="E167" s="18">
        <f t="shared" si="5"/>
        <v>1.0179830148679832E-3</v>
      </c>
    </row>
    <row r="168" spans="1:5" x14ac:dyDescent="0.25">
      <c r="A168" s="27">
        <v>42790</v>
      </c>
      <c r="B168" s="18">
        <v>181.35000600000001</v>
      </c>
      <c r="C168" s="18">
        <v>2367.3400879999999</v>
      </c>
      <c r="D168" s="18">
        <f t="shared" si="4"/>
        <v>-1.6514616565304419E-3</v>
      </c>
      <c r="E168" s="18">
        <f t="shared" si="5"/>
        <v>1.4933640655939071E-3</v>
      </c>
    </row>
    <row r="169" spans="1:5" x14ac:dyDescent="0.25">
      <c r="A169" s="27">
        <v>42789</v>
      </c>
      <c r="B169" s="18">
        <v>181.64999399999999</v>
      </c>
      <c r="C169" s="18">
        <v>2363.8100589999999</v>
      </c>
      <c r="D169" s="18">
        <f t="shared" si="4"/>
        <v>2.7601436188841389E-3</v>
      </c>
      <c r="E169" s="18">
        <f t="shared" si="5"/>
        <v>4.1898704577953419E-4</v>
      </c>
    </row>
    <row r="170" spans="1:5" x14ac:dyDescent="0.25">
      <c r="A170" s="27">
        <v>42788</v>
      </c>
      <c r="B170" s="18">
        <v>181.14999399999999</v>
      </c>
      <c r="C170" s="18">
        <v>2362.820068</v>
      </c>
      <c r="D170" s="18">
        <f t="shared" si="4"/>
        <v>4.9373073598498038E-3</v>
      </c>
      <c r="E170" s="18">
        <f t="shared" si="5"/>
        <v>-1.0822003765219607E-3</v>
      </c>
    </row>
    <row r="171" spans="1:5" x14ac:dyDescent="0.25">
      <c r="A171" s="27">
        <v>42787</v>
      </c>
      <c r="B171" s="18">
        <v>180.259995</v>
      </c>
      <c r="C171" s="18">
        <v>2365.3798830000001</v>
      </c>
      <c r="D171" s="18">
        <f t="shared" si="4"/>
        <v>-2.2693474541356281E-3</v>
      </c>
      <c r="E171" s="18">
        <f t="shared" si="5"/>
        <v>6.0480662873772179E-3</v>
      </c>
    </row>
    <row r="172" spans="1:5" x14ac:dyDescent="0.25">
      <c r="A172" s="27">
        <v>42783</v>
      </c>
      <c r="B172" s="18">
        <v>180.66999799999999</v>
      </c>
      <c r="C172" s="18">
        <v>2351.1599120000001</v>
      </c>
      <c r="D172" s="18">
        <f t="shared" si="4"/>
        <v>-4.188915996926724E-3</v>
      </c>
      <c r="E172" s="18">
        <f t="shared" si="5"/>
        <v>1.6785563554665623E-3</v>
      </c>
    </row>
    <row r="173" spans="1:5" x14ac:dyDescent="0.25">
      <c r="A173" s="27">
        <v>42782</v>
      </c>
      <c r="B173" s="18">
        <v>181.429993</v>
      </c>
      <c r="C173" s="18">
        <v>2347.219971</v>
      </c>
      <c r="D173" s="18">
        <f t="shared" si="4"/>
        <v>-1.37604584782211E-3</v>
      </c>
      <c r="E173" s="18">
        <f t="shared" si="5"/>
        <v>-8.64117909971273E-4</v>
      </c>
    </row>
    <row r="174" spans="1:5" x14ac:dyDescent="0.25">
      <c r="A174" s="27">
        <v>42781</v>
      </c>
      <c r="B174" s="18">
        <v>181.679993</v>
      </c>
      <c r="C174" s="18">
        <v>2349.25</v>
      </c>
      <c r="D174" s="18">
        <f t="shared" si="4"/>
        <v>8.604829606261237E-3</v>
      </c>
      <c r="E174" s="18">
        <f t="shared" si="5"/>
        <v>4.99230897363938E-3</v>
      </c>
    </row>
    <row r="175" spans="1:5" x14ac:dyDescent="0.25">
      <c r="A175" s="27">
        <v>42780</v>
      </c>
      <c r="B175" s="18">
        <v>180.13000500000001</v>
      </c>
      <c r="C175" s="18">
        <v>2337.580078</v>
      </c>
      <c r="D175" s="18">
        <f t="shared" si="4"/>
        <v>4.2930642044320686E-3</v>
      </c>
      <c r="E175" s="18">
        <f t="shared" si="5"/>
        <v>4.0073351229464012E-3</v>
      </c>
    </row>
    <row r="176" spans="1:5" x14ac:dyDescent="0.25">
      <c r="A176" s="27">
        <v>42779</v>
      </c>
      <c r="B176" s="18">
        <v>179.36000100000001</v>
      </c>
      <c r="C176" s="18">
        <v>2328.25</v>
      </c>
      <c r="D176" s="18">
        <f t="shared" si="4"/>
        <v>3.805731064697406E-3</v>
      </c>
      <c r="E176" s="18">
        <f t="shared" si="5"/>
        <v>5.2458449487963847E-3</v>
      </c>
    </row>
    <row r="177" spans="1:5" x14ac:dyDescent="0.25">
      <c r="A177" s="27">
        <v>42776</v>
      </c>
      <c r="B177" s="18">
        <v>178.679993</v>
      </c>
      <c r="C177" s="18">
        <v>2316.1000979999999</v>
      </c>
      <c r="D177" s="18">
        <f t="shared" si="4"/>
        <v>8.2951636021322758E-3</v>
      </c>
      <c r="E177" s="18">
        <f t="shared" si="5"/>
        <v>3.5660503333255615E-3</v>
      </c>
    </row>
    <row r="178" spans="1:5" x14ac:dyDescent="0.25">
      <c r="A178" s="27">
        <v>42775</v>
      </c>
      <c r="B178" s="18">
        <v>177.21000699999999</v>
      </c>
      <c r="C178" s="18">
        <v>2307.8701169999999</v>
      </c>
      <c r="D178" s="18">
        <f t="shared" si="4"/>
        <v>5.90343992624668E-3</v>
      </c>
      <c r="E178" s="18">
        <f t="shared" si="5"/>
        <v>5.7525463132818691E-3</v>
      </c>
    </row>
    <row r="179" spans="1:5" x14ac:dyDescent="0.25">
      <c r="A179" s="27">
        <v>42774</v>
      </c>
      <c r="B179" s="18">
        <v>176.16999799999999</v>
      </c>
      <c r="C179" s="18">
        <v>2294.669922</v>
      </c>
      <c r="D179" s="18">
        <f t="shared" si="4"/>
        <v>-1.2832057100614132E-2</v>
      </c>
      <c r="E179" s="18">
        <f t="shared" si="5"/>
        <v>6.9332249460155341E-4</v>
      </c>
    </row>
    <row r="180" spans="1:5" x14ac:dyDescent="0.25">
      <c r="A180" s="27">
        <v>42773</v>
      </c>
      <c r="B180" s="18">
        <v>178.46000699999999</v>
      </c>
      <c r="C180" s="18">
        <v>2293.080078</v>
      </c>
      <c r="D180" s="18">
        <f t="shared" si="4"/>
        <v>1.4784521694617634E-2</v>
      </c>
      <c r="E180" s="18">
        <f t="shared" si="5"/>
        <v>2.2682895392798412E-4</v>
      </c>
    </row>
    <row r="181" spans="1:5" x14ac:dyDescent="0.25">
      <c r="A181" s="27">
        <v>42772</v>
      </c>
      <c r="B181" s="18">
        <v>175.86000100000001</v>
      </c>
      <c r="C181" s="18">
        <v>2292.5600589999999</v>
      </c>
      <c r="D181" s="18">
        <f t="shared" si="4"/>
        <v>2.2747126838646518E-4</v>
      </c>
      <c r="E181" s="18">
        <f t="shared" si="5"/>
        <v>-2.1153568633501788E-3</v>
      </c>
    </row>
    <row r="182" spans="1:5" x14ac:dyDescent="0.25">
      <c r="A182" s="27">
        <v>42769</v>
      </c>
      <c r="B182" s="18">
        <v>175.820007</v>
      </c>
      <c r="C182" s="18">
        <v>2297.419922</v>
      </c>
      <c r="D182" s="18">
        <f t="shared" si="4"/>
        <v>7.1027894706977741E-3</v>
      </c>
      <c r="E182" s="18">
        <f t="shared" si="5"/>
        <v>7.2647580016458203E-3</v>
      </c>
    </row>
    <row r="183" spans="1:5" x14ac:dyDescent="0.25">
      <c r="A183" s="27">
        <v>42768</v>
      </c>
      <c r="B183" s="18">
        <v>174.58000200000001</v>
      </c>
      <c r="C183" s="18">
        <v>2280.8500979999999</v>
      </c>
      <c r="D183" s="18">
        <f t="shared" si="4"/>
        <v>1.6639452157187116E-3</v>
      </c>
      <c r="E183" s="18">
        <f t="shared" si="5"/>
        <v>5.7030947864919837E-4</v>
      </c>
    </row>
    <row r="184" spans="1:5" x14ac:dyDescent="0.25">
      <c r="A184" s="27">
        <v>42767</v>
      </c>
      <c r="B184" s="18">
        <v>174.28999300000001</v>
      </c>
      <c r="C184" s="18">
        <v>2279.5500489999999</v>
      </c>
      <c r="D184" s="18">
        <f t="shared" si="4"/>
        <v>-1.3179635269776318E-3</v>
      </c>
      <c r="E184" s="18">
        <f t="shared" si="5"/>
        <v>2.9836364737412019E-4</v>
      </c>
    </row>
    <row r="185" spans="1:5" x14ac:dyDescent="0.25">
      <c r="A185" s="27">
        <v>42766</v>
      </c>
      <c r="B185" s="18">
        <v>174.520004</v>
      </c>
      <c r="C185" s="18">
        <v>2278.8701169999999</v>
      </c>
      <c r="D185" s="18">
        <f t="shared" si="4"/>
        <v>-7.2809953251252429E-3</v>
      </c>
      <c r="E185" s="18">
        <f t="shared" si="5"/>
        <v>-8.8990533877456165E-4</v>
      </c>
    </row>
    <row r="186" spans="1:5" x14ac:dyDescent="0.25">
      <c r="A186" s="27">
        <v>42765</v>
      </c>
      <c r="B186" s="18">
        <v>175.800003</v>
      </c>
      <c r="C186" s="18">
        <v>2280.8999020000001</v>
      </c>
      <c r="D186" s="18">
        <f t="shared" si="4"/>
        <v>-8.4602367434816108E-3</v>
      </c>
      <c r="E186" s="18">
        <f t="shared" si="5"/>
        <v>-6.0095434915230575E-3</v>
      </c>
    </row>
    <row r="187" spans="1:5" x14ac:dyDescent="0.25">
      <c r="A187" s="27">
        <v>42762</v>
      </c>
      <c r="B187" s="18">
        <v>177.300003</v>
      </c>
      <c r="C187" s="18">
        <v>2294.6899410000001</v>
      </c>
      <c r="D187" s="18">
        <f t="shared" si="4"/>
        <v>-7.6122297635232497E-3</v>
      </c>
      <c r="E187" s="18">
        <f t="shared" si="5"/>
        <v>-8.6646422615230918E-4</v>
      </c>
    </row>
    <row r="188" spans="1:5" x14ac:dyDescent="0.25">
      <c r="A188" s="27">
        <v>42761</v>
      </c>
      <c r="B188" s="18">
        <v>178.66000399999999</v>
      </c>
      <c r="C188" s="18">
        <v>2296.679932</v>
      </c>
      <c r="D188" s="18">
        <f t="shared" si="4"/>
        <v>2.0753324052235323E-3</v>
      </c>
      <c r="E188" s="18">
        <f t="shared" si="5"/>
        <v>-7.3538416963325347E-4</v>
      </c>
    </row>
    <row r="189" spans="1:5" x14ac:dyDescent="0.25">
      <c r="A189" s="27">
        <v>42760</v>
      </c>
      <c r="B189" s="18">
        <v>178.28999300000001</v>
      </c>
      <c r="C189" s="18">
        <v>2298.3701169999999</v>
      </c>
      <c r="D189" s="18">
        <f t="shared" si="4"/>
        <v>1.3587260270173844E-2</v>
      </c>
      <c r="E189" s="18">
        <f t="shared" si="5"/>
        <v>8.0260906262640107E-3</v>
      </c>
    </row>
    <row r="190" spans="1:5" x14ac:dyDescent="0.25">
      <c r="A190" s="27">
        <v>42759</v>
      </c>
      <c r="B190" s="18">
        <v>175.89999399999999</v>
      </c>
      <c r="C190" s="18">
        <v>2280.070068</v>
      </c>
      <c r="D190" s="18">
        <f t="shared" si="4"/>
        <v>2.8474507562851525E-2</v>
      </c>
      <c r="E190" s="18">
        <f t="shared" si="5"/>
        <v>6.5645935553880538E-3</v>
      </c>
    </row>
    <row r="191" spans="1:5" x14ac:dyDescent="0.25">
      <c r="A191" s="27">
        <v>42758</v>
      </c>
      <c r="B191" s="18">
        <v>171.029999</v>
      </c>
      <c r="C191" s="18">
        <v>2265.1999510000001</v>
      </c>
      <c r="D191" s="18">
        <f t="shared" si="4"/>
        <v>2.8144004195649287E-3</v>
      </c>
      <c r="E191" s="18">
        <f t="shared" si="5"/>
        <v>-2.6901250121218502E-3</v>
      </c>
    </row>
    <row r="192" spans="1:5" x14ac:dyDescent="0.25">
      <c r="A192" s="27">
        <v>42755</v>
      </c>
      <c r="B192" s="18">
        <v>170.550003</v>
      </c>
      <c r="C192" s="18">
        <v>2271.3100589999999</v>
      </c>
      <c r="D192" s="18">
        <f t="shared" si="4"/>
        <v>2.2420748425403113E-2</v>
      </c>
      <c r="E192" s="18">
        <f t="shared" si="5"/>
        <v>3.3662375142390669E-3</v>
      </c>
    </row>
    <row r="193" spans="1:5" x14ac:dyDescent="0.25">
      <c r="A193" s="27">
        <v>42754</v>
      </c>
      <c r="B193" s="18">
        <v>166.80999800000001</v>
      </c>
      <c r="C193" s="18">
        <v>2263.6899410000001</v>
      </c>
      <c r="D193" s="18">
        <f t="shared" si="4"/>
        <v>5.9922061272406142E-5</v>
      </c>
      <c r="E193" s="18">
        <f t="shared" si="5"/>
        <v>-3.6093087192584027E-3</v>
      </c>
    </row>
    <row r="194" spans="1:5" x14ac:dyDescent="0.25">
      <c r="A194" s="27">
        <v>42753</v>
      </c>
      <c r="B194" s="18">
        <v>166.800003</v>
      </c>
      <c r="C194" s="18">
        <v>2271.889893</v>
      </c>
      <c r="D194" s="18">
        <f t="shared" si="4"/>
        <v>-6.4923223925922183E-3</v>
      </c>
      <c r="E194" s="18">
        <f t="shared" si="5"/>
        <v>1.7637540571728276E-3</v>
      </c>
    </row>
    <row r="195" spans="1:5" x14ac:dyDescent="0.25">
      <c r="A195" s="27">
        <v>42752</v>
      </c>
      <c r="B195" s="18">
        <v>167.88999899999999</v>
      </c>
      <c r="C195" s="18">
        <v>2267.889893</v>
      </c>
      <c r="D195" s="18">
        <f t="shared" ref="D195:D253" si="6">(B195-B196)/B196</f>
        <v>3.2867396506928047E-3</v>
      </c>
      <c r="E195" s="18">
        <f t="shared" ref="E195:E252" si="7">(C195-C196)/C196</f>
        <v>-2.9675026894465883E-3</v>
      </c>
    </row>
    <row r="196" spans="1:5" x14ac:dyDescent="0.25">
      <c r="A196" s="27">
        <v>42748</v>
      </c>
      <c r="B196" s="18">
        <v>167.33999600000001</v>
      </c>
      <c r="C196" s="18">
        <v>2274.639893</v>
      </c>
      <c r="D196" s="18">
        <f t="shared" si="6"/>
        <v>-3.6320393622869948E-3</v>
      </c>
      <c r="E196" s="18">
        <f t="shared" si="7"/>
        <v>1.8498406076093335E-3</v>
      </c>
    </row>
    <row r="197" spans="1:5" x14ac:dyDescent="0.25">
      <c r="A197" s="27">
        <v>42747</v>
      </c>
      <c r="B197" s="18">
        <v>167.949997</v>
      </c>
      <c r="C197" s="18">
        <v>2270.4399410000001</v>
      </c>
      <c r="D197" s="18">
        <f t="shared" si="6"/>
        <v>1.19223248882263E-3</v>
      </c>
      <c r="E197" s="18">
        <f t="shared" si="7"/>
        <v>-2.144809017699879E-3</v>
      </c>
    </row>
    <row r="198" spans="1:5" x14ac:dyDescent="0.25">
      <c r="A198" s="27">
        <v>42746</v>
      </c>
      <c r="B198" s="18">
        <v>167.75</v>
      </c>
      <c r="C198" s="18">
        <v>2275.320068</v>
      </c>
      <c r="D198" s="18">
        <f t="shared" si="6"/>
        <v>1.3472667629950032E-2</v>
      </c>
      <c r="E198" s="18">
        <f t="shared" si="7"/>
        <v>2.8296382728654553E-3</v>
      </c>
    </row>
    <row r="199" spans="1:5" x14ac:dyDescent="0.25">
      <c r="A199" s="27">
        <v>42745</v>
      </c>
      <c r="B199" s="18">
        <v>165.520004</v>
      </c>
      <c r="C199" s="18">
        <v>2268.8999020000001</v>
      </c>
      <c r="D199" s="18">
        <f t="shared" si="6"/>
        <v>-1.2704981069071749E-2</v>
      </c>
      <c r="E199" s="18">
        <f t="shared" si="7"/>
        <v>0</v>
      </c>
    </row>
    <row r="200" spans="1:5" x14ac:dyDescent="0.25">
      <c r="A200" s="27">
        <v>42744</v>
      </c>
      <c r="B200" s="18">
        <v>167.64999399999999</v>
      </c>
      <c r="C200" s="18">
        <v>2268.8999020000001</v>
      </c>
      <c r="D200" s="18">
        <f t="shared" si="6"/>
        <v>-1.1089512246148313E-2</v>
      </c>
      <c r="E200" s="18">
        <f t="shared" si="7"/>
        <v>-3.548594221719928E-3</v>
      </c>
    </row>
    <row r="201" spans="1:5" x14ac:dyDescent="0.25">
      <c r="A201" s="27">
        <v>42741</v>
      </c>
      <c r="B201" s="18">
        <v>169.529999</v>
      </c>
      <c r="C201" s="18">
        <v>2276.9799800000001</v>
      </c>
      <c r="D201" s="18">
        <f t="shared" si="6"/>
        <v>4.9199882321278726E-3</v>
      </c>
      <c r="E201" s="18">
        <f t="shared" si="7"/>
        <v>3.5169590127809912E-3</v>
      </c>
    </row>
    <row r="202" spans="1:5" x14ac:dyDescent="0.25">
      <c r="A202" s="27">
        <v>42740</v>
      </c>
      <c r="B202" s="18">
        <v>168.699997</v>
      </c>
      <c r="C202" s="18">
        <v>2269</v>
      </c>
      <c r="D202" s="18">
        <f t="shared" si="6"/>
        <v>-3.3085077191453735E-3</v>
      </c>
      <c r="E202" s="18">
        <f t="shared" si="7"/>
        <v>-7.7067048332048887E-4</v>
      </c>
    </row>
    <row r="203" spans="1:5" x14ac:dyDescent="0.25">
      <c r="A203" s="27">
        <v>42739</v>
      </c>
      <c r="B203" s="18">
        <v>169.259995</v>
      </c>
      <c r="C203" s="18">
        <v>2270.75</v>
      </c>
      <c r="D203" s="18">
        <f t="shared" si="6"/>
        <v>1.2381081256282364E-2</v>
      </c>
      <c r="E203" s="18">
        <f t="shared" si="7"/>
        <v>5.7222738442055795E-3</v>
      </c>
    </row>
    <row r="204" spans="1:5" x14ac:dyDescent="0.25">
      <c r="A204" s="27">
        <v>42738</v>
      </c>
      <c r="B204" s="18">
        <v>167.19000199999999</v>
      </c>
      <c r="C204" s="18">
        <v>2257.830078</v>
      </c>
      <c r="D204" s="18">
        <f t="shared" si="6"/>
        <v>7.2293328745908301E-3</v>
      </c>
      <c r="E204" s="18">
        <f t="shared" si="7"/>
        <v>8.4865752817530268E-3</v>
      </c>
    </row>
    <row r="205" spans="1:5" x14ac:dyDescent="0.25">
      <c r="A205" s="27">
        <v>42734</v>
      </c>
      <c r="B205" s="18">
        <v>165.990005</v>
      </c>
      <c r="C205" s="18">
        <v>2238.830078</v>
      </c>
      <c r="D205" s="18">
        <f t="shared" si="6"/>
        <v>-3.6614704563696782E-3</v>
      </c>
      <c r="E205" s="18">
        <f t="shared" si="7"/>
        <v>-4.6370503870737509E-3</v>
      </c>
    </row>
    <row r="206" spans="1:5" x14ac:dyDescent="0.25">
      <c r="A206" s="27">
        <v>42733</v>
      </c>
      <c r="B206" s="18">
        <v>166.60000600000001</v>
      </c>
      <c r="C206" s="18">
        <v>2249.26001</v>
      </c>
      <c r="D206" s="18">
        <f t="shared" si="6"/>
        <v>2.4670798186765468E-3</v>
      </c>
      <c r="E206" s="18">
        <f t="shared" si="7"/>
        <v>-2.9330466100032011E-4</v>
      </c>
    </row>
    <row r="207" spans="1:5" x14ac:dyDescent="0.25">
      <c r="A207" s="27">
        <v>42732</v>
      </c>
      <c r="B207" s="18">
        <v>166.19000199999999</v>
      </c>
      <c r="C207" s="18">
        <v>2249.919922</v>
      </c>
      <c r="D207" s="18">
        <f t="shared" si="6"/>
        <v>-5.683839928705494E-3</v>
      </c>
      <c r="E207" s="18">
        <f t="shared" si="7"/>
        <v>-8.3565292028286806E-3</v>
      </c>
    </row>
    <row r="208" spans="1:5" x14ac:dyDescent="0.25">
      <c r="A208" s="27">
        <v>42731</v>
      </c>
      <c r="B208" s="18">
        <v>167.13999899999999</v>
      </c>
      <c r="C208" s="18">
        <v>2268.8798830000001</v>
      </c>
      <c r="D208" s="18">
        <f t="shared" si="6"/>
        <v>2.5792812785377581E-3</v>
      </c>
      <c r="E208" s="18">
        <f t="shared" si="7"/>
        <v>2.2483728227059687E-3</v>
      </c>
    </row>
    <row r="209" spans="1:5" x14ac:dyDescent="0.25">
      <c r="A209" s="27">
        <v>42727</v>
      </c>
      <c r="B209" s="18">
        <v>166.71000699999999</v>
      </c>
      <c r="C209" s="18">
        <v>2263.790039</v>
      </c>
      <c r="D209" s="18">
        <f t="shared" si="6"/>
        <v>-2.0950018208429348E-3</v>
      </c>
      <c r="E209" s="18">
        <f t="shared" si="7"/>
        <v>1.2517152222139495E-3</v>
      </c>
    </row>
    <row r="210" spans="1:5" x14ac:dyDescent="0.25">
      <c r="A210" s="27">
        <v>42726</v>
      </c>
      <c r="B210" s="18">
        <v>167.05999800000001</v>
      </c>
      <c r="C210" s="18">
        <v>2260.959961</v>
      </c>
      <c r="D210" s="18">
        <f t="shared" si="6"/>
        <v>-1.6136018452925145E-3</v>
      </c>
      <c r="E210" s="18">
        <f t="shared" si="7"/>
        <v>-1.8629738593322425E-3</v>
      </c>
    </row>
    <row r="211" spans="1:5" x14ac:dyDescent="0.25">
      <c r="A211" s="27">
        <v>42725</v>
      </c>
      <c r="B211" s="18">
        <v>167.33000200000001</v>
      </c>
      <c r="C211" s="18">
        <v>2265.179932</v>
      </c>
      <c r="D211" s="18">
        <f t="shared" si="6"/>
        <v>-1.6110023289617312E-3</v>
      </c>
      <c r="E211" s="18">
        <f t="shared" si="7"/>
        <v>-2.4573614012164844E-3</v>
      </c>
    </row>
    <row r="212" spans="1:5" x14ac:dyDescent="0.25">
      <c r="A212" s="27">
        <v>42724</v>
      </c>
      <c r="B212" s="18">
        <v>167.60000600000001</v>
      </c>
      <c r="C212" s="18">
        <v>2270.76001</v>
      </c>
      <c r="D212" s="18">
        <f t="shared" si="6"/>
        <v>5.519636660891938E-3</v>
      </c>
      <c r="E212" s="18">
        <f t="shared" si="7"/>
        <v>3.6375123841505277E-3</v>
      </c>
    </row>
    <row r="213" spans="1:5" x14ac:dyDescent="0.25">
      <c r="A213" s="27">
        <v>42723</v>
      </c>
      <c r="B213" s="18">
        <v>166.679993</v>
      </c>
      <c r="C213" s="18">
        <v>2262.530029</v>
      </c>
      <c r="D213" s="18">
        <f t="shared" si="6"/>
        <v>-2.9990404366112857E-4</v>
      </c>
      <c r="E213" s="18">
        <f t="shared" si="7"/>
        <v>1.9751207295131733E-3</v>
      </c>
    </row>
    <row r="214" spans="1:5" x14ac:dyDescent="0.25">
      <c r="A214" s="27">
        <v>42720</v>
      </c>
      <c r="B214" s="18">
        <v>166.729996</v>
      </c>
      <c r="C214" s="18">
        <v>2258.070068</v>
      </c>
      <c r="D214" s="18">
        <f t="shared" si="6"/>
        <v>-7.6777048523341317E-3</v>
      </c>
      <c r="E214" s="18">
        <f t="shared" si="7"/>
        <v>-1.7506226483432865E-3</v>
      </c>
    </row>
    <row r="215" spans="1:5" x14ac:dyDescent="0.25">
      <c r="A215" s="27">
        <v>42719</v>
      </c>
      <c r="B215" s="18">
        <v>168.020004</v>
      </c>
      <c r="C215" s="18">
        <v>2262.030029</v>
      </c>
      <c r="D215" s="18">
        <f t="shared" si="6"/>
        <v>-2.9077859743572086E-3</v>
      </c>
      <c r="E215" s="18">
        <f t="shared" si="7"/>
        <v>3.8832279554189401E-3</v>
      </c>
    </row>
    <row r="216" spans="1:5" x14ac:dyDescent="0.25">
      <c r="A216" s="27">
        <v>42718</v>
      </c>
      <c r="B216" s="18">
        <v>168.509995</v>
      </c>
      <c r="C216" s="18">
        <v>2253.280029</v>
      </c>
      <c r="D216" s="18">
        <f t="shared" si="6"/>
        <v>1.3072791559269588E-3</v>
      </c>
      <c r="E216" s="18">
        <f t="shared" si="7"/>
        <v>-8.1171721142561434E-3</v>
      </c>
    </row>
    <row r="217" spans="1:5" x14ac:dyDescent="0.25">
      <c r="A217" s="27">
        <v>42717</v>
      </c>
      <c r="B217" s="18">
        <v>168.28999300000001</v>
      </c>
      <c r="C217" s="18">
        <v>2271.719971</v>
      </c>
      <c r="D217" s="18">
        <f t="shared" si="6"/>
        <v>1.6857963746223625E-2</v>
      </c>
      <c r="E217" s="18">
        <f t="shared" si="7"/>
        <v>6.5397748542513753E-3</v>
      </c>
    </row>
    <row r="218" spans="1:5" x14ac:dyDescent="0.25">
      <c r="A218" s="27">
        <v>42716</v>
      </c>
      <c r="B218" s="18">
        <v>165.5</v>
      </c>
      <c r="C218" s="18">
        <v>2256.959961</v>
      </c>
      <c r="D218" s="18">
        <f t="shared" si="6"/>
        <v>-6.1254142175014605E-3</v>
      </c>
      <c r="E218" s="18">
        <f t="shared" si="7"/>
        <v>-1.1374347616603382E-3</v>
      </c>
    </row>
    <row r="219" spans="1:5" x14ac:dyDescent="0.25">
      <c r="A219" s="27">
        <v>42713</v>
      </c>
      <c r="B219" s="18">
        <v>166.520004</v>
      </c>
      <c r="C219" s="18">
        <v>2259.530029</v>
      </c>
      <c r="D219" s="18">
        <f t="shared" si="6"/>
        <v>7.015015680847685E-3</v>
      </c>
      <c r="E219" s="18">
        <f t="shared" si="7"/>
        <v>5.9389848367235312E-3</v>
      </c>
    </row>
    <row r="220" spans="1:5" x14ac:dyDescent="0.25">
      <c r="A220" s="27">
        <v>42712</v>
      </c>
      <c r="B220" s="18">
        <v>165.36000100000001</v>
      </c>
      <c r="C220" s="18">
        <v>2246.1899410000001</v>
      </c>
      <c r="D220" s="18">
        <f t="shared" si="6"/>
        <v>3.4589964452513893E-3</v>
      </c>
      <c r="E220" s="18">
        <f t="shared" si="7"/>
        <v>2.159342712376298E-3</v>
      </c>
    </row>
    <row r="221" spans="1:5" x14ac:dyDescent="0.25">
      <c r="A221" s="27">
        <v>42711</v>
      </c>
      <c r="B221" s="18">
        <v>164.78999300000001</v>
      </c>
      <c r="C221" s="18">
        <v>2241.3500979999999</v>
      </c>
      <c r="D221" s="18">
        <f t="shared" si="6"/>
        <v>2.7689347264508377E-2</v>
      </c>
      <c r="E221" s="18">
        <f t="shared" si="7"/>
        <v>1.3163241734930208E-2</v>
      </c>
    </row>
    <row r="222" spans="1:5" x14ac:dyDescent="0.25">
      <c r="A222" s="27">
        <v>42710</v>
      </c>
      <c r="B222" s="18">
        <v>160.35000600000001</v>
      </c>
      <c r="C222" s="18">
        <v>2212.2299800000001</v>
      </c>
      <c r="D222" s="18">
        <f t="shared" si="6"/>
        <v>3.1907533331018978E-3</v>
      </c>
      <c r="E222" s="18">
        <f t="shared" si="7"/>
        <v>3.4108881136406528E-3</v>
      </c>
    </row>
    <row r="223" spans="1:5" x14ac:dyDescent="0.25">
      <c r="A223" s="27">
        <v>42709</v>
      </c>
      <c r="B223" s="18">
        <v>159.83999600000001</v>
      </c>
      <c r="C223" s="18">
        <v>2204.709961</v>
      </c>
      <c r="D223" s="18">
        <f t="shared" si="6"/>
        <v>-1.1249093582074066E-3</v>
      </c>
      <c r="E223" s="18">
        <f t="shared" si="7"/>
        <v>5.8213053606350181E-3</v>
      </c>
    </row>
    <row r="224" spans="1:5" x14ac:dyDescent="0.25">
      <c r="A224" s="27">
        <v>42706</v>
      </c>
      <c r="B224" s="18">
        <v>160.020004</v>
      </c>
      <c r="C224" s="18">
        <v>2191.9499510000001</v>
      </c>
      <c r="D224" s="18">
        <f t="shared" si="6"/>
        <v>1.2513890078855784E-3</v>
      </c>
      <c r="E224" s="18">
        <f t="shared" si="7"/>
        <v>3.9700648494513758E-4</v>
      </c>
    </row>
    <row r="225" spans="1:5" x14ac:dyDescent="0.25">
      <c r="A225" s="27">
        <v>42705</v>
      </c>
      <c r="B225" s="18">
        <v>159.820007</v>
      </c>
      <c r="C225" s="18">
        <v>2191.080078</v>
      </c>
      <c r="D225" s="18">
        <f t="shared" si="6"/>
        <v>-1.4794686137377057E-2</v>
      </c>
      <c r="E225" s="18">
        <f t="shared" si="7"/>
        <v>-3.515529214704194E-3</v>
      </c>
    </row>
    <row r="226" spans="1:5" x14ac:dyDescent="0.25">
      <c r="A226" s="27">
        <v>42704</v>
      </c>
      <c r="B226" s="18">
        <v>162.220001</v>
      </c>
      <c r="C226" s="18">
        <v>2198.8100589999999</v>
      </c>
      <c r="D226" s="18">
        <f t="shared" si="6"/>
        <v>-8.0107503700284823E-3</v>
      </c>
      <c r="E226" s="18">
        <f t="shared" si="7"/>
        <v>-2.6534038053485352E-3</v>
      </c>
    </row>
    <row r="227" spans="1:5" x14ac:dyDescent="0.25">
      <c r="A227" s="27">
        <v>42703</v>
      </c>
      <c r="B227" s="18">
        <v>163.529999</v>
      </c>
      <c r="C227" s="18">
        <v>2204.6599120000001</v>
      </c>
      <c r="D227" s="18">
        <f t="shared" si="6"/>
        <v>-6.0175357155959983E-3</v>
      </c>
      <c r="E227" s="18">
        <f t="shared" si="7"/>
        <v>1.3352928795321763E-3</v>
      </c>
    </row>
    <row r="228" spans="1:5" x14ac:dyDescent="0.25">
      <c r="A228" s="27">
        <v>42702</v>
      </c>
      <c r="B228" s="18">
        <v>164.520004</v>
      </c>
      <c r="C228" s="18">
        <v>2201.719971</v>
      </c>
      <c r="D228" s="18">
        <f t="shared" si="6"/>
        <v>8.4590229769463919E-3</v>
      </c>
      <c r="E228" s="18">
        <f t="shared" si="7"/>
        <v>-5.254535651865005E-3</v>
      </c>
    </row>
    <row r="229" spans="1:5" x14ac:dyDescent="0.25">
      <c r="A229" s="27">
        <v>42699</v>
      </c>
      <c r="B229" s="18">
        <v>163.13999899999999</v>
      </c>
      <c r="C229" s="18">
        <v>2213.3500979999999</v>
      </c>
      <c r="D229" s="18">
        <f t="shared" si="6"/>
        <v>7.1613966455462133E-3</v>
      </c>
      <c r="E229" s="18">
        <f t="shared" si="7"/>
        <v>3.9143869124048051E-3</v>
      </c>
    </row>
    <row r="230" spans="1:5" x14ac:dyDescent="0.25">
      <c r="A230" s="27">
        <v>42697</v>
      </c>
      <c r="B230" s="18">
        <v>161.979996</v>
      </c>
      <c r="C230" s="18">
        <v>2204.719971</v>
      </c>
      <c r="D230" s="18">
        <f t="shared" si="6"/>
        <v>-4.2417287052526594E-3</v>
      </c>
      <c r="E230" s="18">
        <f t="shared" si="7"/>
        <v>8.080247522280939E-4</v>
      </c>
    </row>
    <row r="231" spans="1:5" x14ac:dyDescent="0.25">
      <c r="A231" s="27">
        <v>42696</v>
      </c>
      <c r="B231" s="18">
        <v>162.66999799999999</v>
      </c>
      <c r="C231" s="18">
        <v>2202.9399410000001</v>
      </c>
      <c r="D231" s="18">
        <f t="shared" si="6"/>
        <v>-6.1440067298891012E-4</v>
      </c>
      <c r="E231" s="18">
        <f t="shared" si="7"/>
        <v>2.1654319242507222E-3</v>
      </c>
    </row>
    <row r="232" spans="1:5" x14ac:dyDescent="0.25">
      <c r="A232" s="27">
        <v>42695</v>
      </c>
      <c r="B232" s="18">
        <v>162.770004</v>
      </c>
      <c r="C232" s="18">
        <v>2198.179932</v>
      </c>
      <c r="D232" s="18">
        <f t="shared" si="6"/>
        <v>1.4838861617550178E-2</v>
      </c>
      <c r="E232" s="18">
        <f t="shared" si="7"/>
        <v>7.4614009492722805E-3</v>
      </c>
    </row>
    <row r="233" spans="1:5" x14ac:dyDescent="0.25">
      <c r="A233" s="27">
        <v>42692</v>
      </c>
      <c r="B233" s="18">
        <v>160.38999899999999</v>
      </c>
      <c r="C233" s="18">
        <v>2181.8999020000001</v>
      </c>
      <c r="D233" s="18">
        <f t="shared" si="6"/>
        <v>3.6920900433273776E-3</v>
      </c>
      <c r="E233" s="18">
        <f t="shared" si="7"/>
        <v>-2.386798493335712E-3</v>
      </c>
    </row>
    <row r="234" spans="1:5" x14ac:dyDescent="0.25">
      <c r="A234" s="27">
        <v>42691</v>
      </c>
      <c r="B234" s="18">
        <v>159.800003</v>
      </c>
      <c r="C234" s="18">
        <v>2187.1201169999999</v>
      </c>
      <c r="D234" s="18">
        <f t="shared" si="6"/>
        <v>3.2017704966563346E-3</v>
      </c>
      <c r="E234" s="18">
        <f t="shared" si="7"/>
        <v>4.6763697097327714E-3</v>
      </c>
    </row>
    <row r="235" spans="1:5" x14ac:dyDescent="0.25">
      <c r="A235" s="27">
        <v>42690</v>
      </c>
      <c r="B235" s="18">
        <v>159.28999300000001</v>
      </c>
      <c r="C235" s="18">
        <v>2176.9399410000001</v>
      </c>
      <c r="D235" s="18">
        <f t="shared" si="6"/>
        <v>3.9074494725840807E-3</v>
      </c>
      <c r="E235" s="18">
        <f t="shared" si="7"/>
        <v>-1.5822638011099694E-3</v>
      </c>
    </row>
    <row r="236" spans="1:5" x14ac:dyDescent="0.25">
      <c r="A236" s="27">
        <v>42689</v>
      </c>
      <c r="B236" s="18">
        <v>158.66999799999999</v>
      </c>
      <c r="C236" s="18">
        <v>2180.389893</v>
      </c>
      <c r="D236" s="18">
        <f t="shared" si="6"/>
        <v>2.9074709540971217E-3</v>
      </c>
      <c r="E236" s="18">
        <f t="shared" si="7"/>
        <v>7.4807976927081877E-3</v>
      </c>
    </row>
    <row r="237" spans="1:5" x14ac:dyDescent="0.25">
      <c r="A237" s="27">
        <v>42688</v>
      </c>
      <c r="B237" s="18">
        <v>158.21000699999999</v>
      </c>
      <c r="C237" s="18">
        <v>2164.1999510000001</v>
      </c>
      <c r="D237" s="18">
        <f t="shared" si="6"/>
        <v>-1.8974371700269877E-2</v>
      </c>
      <c r="E237" s="18">
        <f t="shared" si="7"/>
        <v>-1.1550278623190026E-4</v>
      </c>
    </row>
    <row r="238" spans="1:5" x14ac:dyDescent="0.25">
      <c r="A238" s="27">
        <v>42685</v>
      </c>
      <c r="B238" s="18">
        <v>161.270004</v>
      </c>
      <c r="C238" s="18">
        <v>2164.4499510000001</v>
      </c>
      <c r="D238" s="18">
        <f t="shared" si="6"/>
        <v>6.5535076360410446E-3</v>
      </c>
      <c r="E238" s="18">
        <f t="shared" si="7"/>
        <v>-1.3979501669953202E-3</v>
      </c>
    </row>
    <row r="239" spans="1:5" x14ac:dyDescent="0.25">
      <c r="A239" s="27">
        <v>42684</v>
      </c>
      <c r="B239" s="18">
        <v>160.220001</v>
      </c>
      <c r="C239" s="18">
        <v>2167.4799800000001</v>
      </c>
      <c r="D239" s="18">
        <f t="shared" si="6"/>
        <v>3.4946082745895966E-2</v>
      </c>
      <c r="E239" s="18">
        <f t="shared" si="7"/>
        <v>1.9507456248868129E-3</v>
      </c>
    </row>
    <row r="240" spans="1:5" x14ac:dyDescent="0.25">
      <c r="A240" s="27">
        <v>42683</v>
      </c>
      <c r="B240" s="18">
        <v>154.80999800000001</v>
      </c>
      <c r="C240" s="18">
        <v>2163.26001</v>
      </c>
      <c r="D240" s="18">
        <f t="shared" si="6"/>
        <v>-2.3200361193533381E-3</v>
      </c>
      <c r="E240" s="18">
        <f t="shared" si="7"/>
        <v>1.1077020670818222E-2</v>
      </c>
    </row>
    <row r="241" spans="1:5" x14ac:dyDescent="0.25">
      <c r="A241" s="27">
        <v>42682</v>
      </c>
      <c r="B241" s="18">
        <v>155.16999799999999</v>
      </c>
      <c r="C241" s="18">
        <v>2139.5600589999999</v>
      </c>
      <c r="D241" s="18">
        <f t="shared" si="6"/>
        <v>-3.5319997204469825E-3</v>
      </c>
      <c r="E241" s="18">
        <f t="shared" si="7"/>
        <v>3.771974424148256E-3</v>
      </c>
    </row>
    <row r="242" spans="1:5" x14ac:dyDescent="0.25">
      <c r="A242" s="27">
        <v>42681</v>
      </c>
      <c r="B242" s="18">
        <v>155.720001</v>
      </c>
      <c r="C242" s="18">
        <v>2131.5200199999999</v>
      </c>
      <c r="D242" s="18">
        <f t="shared" si="6"/>
        <v>2.1583731228013638E-2</v>
      </c>
      <c r="E242" s="18">
        <f t="shared" si="7"/>
        <v>2.2223544015960692E-2</v>
      </c>
    </row>
    <row r="243" spans="1:5" x14ac:dyDescent="0.25">
      <c r="A243" s="27">
        <v>42678</v>
      </c>
      <c r="B243" s="18">
        <v>152.429993</v>
      </c>
      <c r="C243" s="18">
        <v>2085.179932</v>
      </c>
      <c r="D243" s="18">
        <f t="shared" si="6"/>
        <v>3.9376518979348477E-4</v>
      </c>
      <c r="E243" s="18">
        <f t="shared" si="7"/>
        <v>-1.6661305078948E-3</v>
      </c>
    </row>
    <row r="244" spans="1:5" x14ac:dyDescent="0.25">
      <c r="A244" s="27">
        <v>42677</v>
      </c>
      <c r="B244" s="18">
        <v>152.36999499999999</v>
      </c>
      <c r="C244" s="18">
        <v>2088.6599120000001</v>
      </c>
      <c r="D244" s="18">
        <f t="shared" si="6"/>
        <v>2.7640540196917055E-3</v>
      </c>
      <c r="E244" s="18">
        <f t="shared" si="7"/>
        <v>-4.4234006982948292E-3</v>
      </c>
    </row>
    <row r="245" spans="1:5" x14ac:dyDescent="0.25">
      <c r="A245" s="27">
        <v>42676</v>
      </c>
      <c r="B245" s="18">
        <v>151.949997</v>
      </c>
      <c r="C245" s="18">
        <v>2097.9399410000001</v>
      </c>
      <c r="D245" s="18">
        <f t="shared" si="6"/>
        <v>-5.4977160709734013E-3</v>
      </c>
      <c r="E245" s="18">
        <f t="shared" si="7"/>
        <v>-6.525500629458174E-3</v>
      </c>
    </row>
    <row r="246" spans="1:5" x14ac:dyDescent="0.25">
      <c r="A246" s="27">
        <v>42675</v>
      </c>
      <c r="B246" s="18">
        <v>152.78999300000001</v>
      </c>
      <c r="C246" s="18">
        <v>2111.719971</v>
      </c>
      <c r="D246" s="18">
        <f t="shared" si="6"/>
        <v>-5.8560022661720244E-3</v>
      </c>
      <c r="E246" s="18">
        <f t="shared" si="7"/>
        <v>-6.7868831762174231E-3</v>
      </c>
    </row>
    <row r="247" spans="1:5" x14ac:dyDescent="0.25">
      <c r="A247" s="27">
        <v>42674</v>
      </c>
      <c r="B247" s="18">
        <v>153.69000199999999</v>
      </c>
      <c r="C247" s="18">
        <v>2126.1499020000001</v>
      </c>
      <c r="D247" s="18">
        <f t="shared" si="6"/>
        <v>7.076869097196202E-3</v>
      </c>
      <c r="E247" s="18">
        <f t="shared" si="7"/>
        <v>-1.2227651805639517E-4</v>
      </c>
    </row>
    <row r="248" spans="1:5" x14ac:dyDescent="0.25">
      <c r="A248" s="27">
        <v>42671</v>
      </c>
      <c r="B248" s="18">
        <v>152.61000100000001</v>
      </c>
      <c r="C248" s="18">
        <v>2126.4099120000001</v>
      </c>
      <c r="D248" s="18">
        <f t="shared" si="6"/>
        <v>-4.8255948552098291E-3</v>
      </c>
      <c r="E248" s="18">
        <f t="shared" si="7"/>
        <v>-3.1082993655891251E-3</v>
      </c>
    </row>
    <row r="249" spans="1:5" x14ac:dyDescent="0.25">
      <c r="A249" s="27">
        <v>42670</v>
      </c>
      <c r="B249" s="18">
        <v>153.35000600000001</v>
      </c>
      <c r="C249" s="18">
        <v>2133.040039</v>
      </c>
      <c r="D249" s="18">
        <f t="shared" si="6"/>
        <v>1.0144312102553352E-2</v>
      </c>
      <c r="E249" s="18">
        <f t="shared" si="7"/>
        <v>-2.9867269333876127E-3</v>
      </c>
    </row>
    <row r="250" spans="1:5" x14ac:dyDescent="0.25">
      <c r="A250" s="27">
        <v>42669</v>
      </c>
      <c r="B250" s="18">
        <v>151.80999800000001</v>
      </c>
      <c r="C250" s="18">
        <v>2139.429932</v>
      </c>
      <c r="D250" s="18">
        <f t="shared" si="6"/>
        <v>6.163792213554049E-3</v>
      </c>
      <c r="E250" s="18">
        <f t="shared" si="7"/>
        <v>-1.7404114266579603E-3</v>
      </c>
    </row>
    <row r="251" spans="1:5" x14ac:dyDescent="0.25">
      <c r="A251" s="27">
        <v>42668</v>
      </c>
      <c r="B251" s="18">
        <v>150.88000500000001</v>
      </c>
      <c r="C251" s="18">
        <v>2143.1599120000001</v>
      </c>
      <c r="D251" s="18">
        <f t="shared" si="6"/>
        <v>2.0588296844537392E-3</v>
      </c>
      <c r="E251" s="18">
        <f t="shared" si="7"/>
        <v>-3.7977277794560178E-3</v>
      </c>
    </row>
    <row r="252" spans="1:5" x14ac:dyDescent="0.25">
      <c r="A252" s="27">
        <v>42667</v>
      </c>
      <c r="B252" s="18">
        <v>150.570007</v>
      </c>
      <c r="C252" s="18">
        <v>2151.330078</v>
      </c>
      <c r="D252" s="18">
        <f t="shared" si="6"/>
        <v>6.2821758242940151E-3</v>
      </c>
      <c r="E252" s="18">
        <f t="shared" si="7"/>
        <v>4.7498395346381216E-3</v>
      </c>
    </row>
    <row r="253" spans="1:5" x14ac:dyDescent="0.25">
      <c r="A253" s="27">
        <v>42664</v>
      </c>
      <c r="B253" s="18">
        <v>149.63000500000001</v>
      </c>
      <c r="C253" s="18">
        <v>2141.1599120000001</v>
      </c>
      <c r="D253" s="18">
        <v>0</v>
      </c>
      <c r="E253" s="18">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O47"/>
  <sheetViews>
    <sheetView tabSelected="1" topLeftCell="E1" zoomScaleNormal="100" workbookViewId="0">
      <selection activeCell="M34" sqref="M34"/>
    </sheetView>
  </sheetViews>
  <sheetFormatPr defaultRowHeight="15" x14ac:dyDescent="0.25"/>
  <cols>
    <col min="1" max="1" width="20.42578125" customWidth="1"/>
    <col min="2" max="2" width="13.7109375" customWidth="1"/>
    <col min="3" max="3" width="16.28515625" customWidth="1"/>
    <col min="4" max="4" width="21" customWidth="1"/>
    <col min="5" max="5" width="17.7109375" customWidth="1"/>
    <col min="10" max="10" width="8" customWidth="1"/>
    <col min="11" max="11" width="7" customWidth="1"/>
    <col min="12" max="12" width="19.140625" customWidth="1"/>
    <col min="13" max="13" width="18.7109375" customWidth="1"/>
    <col min="14" max="14" width="19.5703125" customWidth="1"/>
    <col min="15" max="15" width="18.28515625" customWidth="1"/>
  </cols>
  <sheetData>
    <row r="1" spans="1:15" ht="18.75" x14ac:dyDescent="0.3">
      <c r="A1" s="1"/>
      <c r="B1" s="1"/>
      <c r="C1" s="1"/>
      <c r="D1" s="1"/>
      <c r="E1" s="1"/>
      <c r="F1" s="1"/>
      <c r="G1" s="1"/>
      <c r="H1" s="1"/>
      <c r="I1" s="1"/>
      <c r="J1" s="1"/>
      <c r="K1" s="1"/>
      <c r="L1" s="1"/>
      <c r="M1" s="1"/>
      <c r="N1" s="1"/>
    </row>
    <row r="3" spans="1:15" ht="15.75" customHeight="1" x14ac:dyDescent="0.25">
      <c r="A3" s="2"/>
      <c r="B3" s="3"/>
      <c r="C3" s="3"/>
      <c r="D3" s="3"/>
      <c r="E3" s="3"/>
      <c r="F3" s="3"/>
      <c r="G3" s="3"/>
      <c r="H3" s="3"/>
      <c r="I3" s="3"/>
      <c r="J3" s="3"/>
      <c r="K3" s="3"/>
      <c r="L3" s="3"/>
      <c r="M3" s="3"/>
      <c r="N3" s="3"/>
      <c r="O3" s="3"/>
    </row>
    <row r="4" spans="1:15" ht="15.75" customHeight="1" x14ac:dyDescent="0.25">
      <c r="A4" s="2"/>
      <c r="B4" s="3"/>
      <c r="C4" s="3"/>
      <c r="D4" s="3"/>
      <c r="E4" s="3"/>
      <c r="F4" s="3"/>
      <c r="G4" s="3"/>
      <c r="H4" s="3"/>
      <c r="I4" s="3"/>
      <c r="J4" s="3"/>
      <c r="K4" s="3"/>
      <c r="L4" s="3"/>
      <c r="M4" s="3"/>
      <c r="N4" s="3"/>
      <c r="O4" s="3"/>
    </row>
    <row r="5" spans="1:15" ht="15.75" customHeight="1" x14ac:dyDescent="0.25">
      <c r="A5" s="2"/>
      <c r="B5" s="3"/>
      <c r="C5" s="3"/>
      <c r="D5" s="3"/>
      <c r="E5" s="3"/>
      <c r="F5" s="3"/>
      <c r="G5" s="3"/>
      <c r="H5" s="3"/>
      <c r="I5" s="3"/>
      <c r="J5" s="3"/>
      <c r="K5" s="3"/>
      <c r="L5" s="3"/>
      <c r="M5" s="3"/>
      <c r="N5" s="3"/>
      <c r="O5" s="3"/>
    </row>
    <row r="6" spans="1:15" ht="15.75" customHeight="1" x14ac:dyDescent="0.25">
      <c r="A6" s="2"/>
      <c r="B6" s="3"/>
      <c r="C6" s="3"/>
      <c r="D6" s="3"/>
      <c r="E6" s="3"/>
      <c r="F6" s="3"/>
      <c r="G6" s="3"/>
      <c r="H6" s="3"/>
      <c r="I6" s="3"/>
      <c r="J6" s="3"/>
      <c r="K6" s="3"/>
      <c r="L6" s="3"/>
      <c r="M6" s="3"/>
      <c r="N6" s="3"/>
      <c r="O6" s="3"/>
    </row>
    <row r="7" spans="1:15" ht="15.75" customHeight="1" x14ac:dyDescent="0.25">
      <c r="A7" s="2"/>
      <c r="B7" s="3"/>
      <c r="C7" s="3"/>
      <c r="D7" s="3"/>
      <c r="E7" s="3"/>
      <c r="F7" s="3"/>
      <c r="G7" s="3"/>
      <c r="H7" s="3"/>
      <c r="I7" s="3"/>
      <c r="J7" s="3"/>
      <c r="K7" s="3"/>
      <c r="L7" s="3"/>
      <c r="M7" s="3"/>
      <c r="N7" s="3"/>
      <c r="O7" s="3"/>
    </row>
    <row r="8" spans="1:15" ht="15.75" customHeight="1" x14ac:dyDescent="0.25">
      <c r="A8" s="2"/>
      <c r="B8" s="3"/>
      <c r="C8" s="3"/>
      <c r="D8" s="3"/>
      <c r="E8" s="3"/>
      <c r="F8" s="3"/>
      <c r="G8" s="3"/>
      <c r="H8" s="3"/>
      <c r="I8" s="3"/>
      <c r="J8" s="3"/>
      <c r="K8" s="3"/>
      <c r="L8" s="3"/>
      <c r="M8" s="3"/>
      <c r="N8" s="3"/>
      <c r="O8" s="3"/>
    </row>
    <row r="13" spans="1:15" x14ac:dyDescent="0.25">
      <c r="B13" s="4"/>
    </row>
    <row r="14" spans="1:15" x14ac:dyDescent="0.25">
      <c r="B14" s="4"/>
    </row>
    <row r="15" spans="1:15" x14ac:dyDescent="0.25">
      <c r="B15" s="4"/>
    </row>
    <row r="16" spans="1:15" x14ac:dyDescent="0.25">
      <c r="B16" s="4"/>
    </row>
    <row r="17" spans="1:15" x14ac:dyDescent="0.25">
      <c r="B17" s="4"/>
    </row>
    <row r="18" spans="1:15" x14ac:dyDescent="0.25">
      <c r="B18" s="4"/>
    </row>
    <row r="19" spans="1:15" x14ac:dyDescent="0.25">
      <c r="B19" s="4"/>
    </row>
    <row r="20" spans="1:15" x14ac:dyDescent="0.25">
      <c r="B20" s="4"/>
    </row>
    <row r="32" spans="1:15" x14ac:dyDescent="0.25">
      <c r="A32" s="20" t="s">
        <v>2</v>
      </c>
      <c r="B32" s="21"/>
      <c r="C32" s="21"/>
      <c r="D32" s="21"/>
      <c r="E32" s="21"/>
      <c r="F32" s="23" t="s">
        <v>11</v>
      </c>
      <c r="G32" s="23"/>
      <c r="H32" s="23"/>
      <c r="I32" s="23"/>
      <c r="J32" s="23"/>
      <c r="K32" s="23"/>
      <c r="L32" s="22" t="s">
        <v>10</v>
      </c>
      <c r="M32" s="22"/>
      <c r="N32" s="24" t="s">
        <v>15</v>
      </c>
      <c r="O32" s="24"/>
    </row>
    <row r="33" spans="1:15" ht="34.5" customHeight="1" x14ac:dyDescent="0.35">
      <c r="A33" s="5" t="s">
        <v>16</v>
      </c>
      <c r="B33" s="6" t="s">
        <v>0</v>
      </c>
      <c r="C33" s="6" t="s">
        <v>17</v>
      </c>
      <c r="D33" s="7" t="s">
        <v>3</v>
      </c>
      <c r="E33" s="8" t="s">
        <v>1</v>
      </c>
      <c r="F33" s="10" t="s">
        <v>7</v>
      </c>
      <c r="G33" s="10" t="s">
        <v>5</v>
      </c>
      <c r="H33" s="10" t="s">
        <v>4</v>
      </c>
      <c r="I33" s="10" t="s">
        <v>6</v>
      </c>
      <c r="J33" s="10" t="s">
        <v>12</v>
      </c>
      <c r="K33" s="10" t="s">
        <v>13</v>
      </c>
      <c r="L33" s="12" t="s">
        <v>8</v>
      </c>
      <c r="M33" s="12" t="s">
        <v>9</v>
      </c>
      <c r="N33" s="19" t="s">
        <v>8</v>
      </c>
      <c r="O33" s="19" t="s">
        <v>9</v>
      </c>
    </row>
    <row r="34" spans="1:15" x14ac:dyDescent="0.25">
      <c r="A34" s="9">
        <v>49</v>
      </c>
      <c r="B34" s="9">
        <v>49</v>
      </c>
      <c r="C34" s="9">
        <v>1E-3</v>
      </c>
      <c r="D34" s="9">
        <v>0.25</v>
      </c>
      <c r="E34" s="9">
        <v>1</v>
      </c>
      <c r="F34" s="11">
        <f xml:space="preserve"> (LN(A34/B34) + (C34+(D34^2)/2)*E34) / (D34 * SQRT(E34))</f>
        <v>0.129</v>
      </c>
      <c r="G34" s="11">
        <f xml:space="preserve"> F34 - ( D34* SQRT(E34))</f>
        <v>-0.121</v>
      </c>
      <c r="H34" s="11">
        <f>_xlfn.NORM.S.DIST(F34,TRUE)</f>
        <v>0.55132117558549409</v>
      </c>
      <c r="I34" s="11">
        <f>_xlfn.NORM.S.DIST(G34,TRUE)</f>
        <v>0.45184551759749203</v>
      </c>
      <c r="J34" s="11">
        <f>_xlfn.NORM.S.DIST(-F34,TRUE)</f>
        <v>0.44867882441450585</v>
      </c>
      <c r="K34" s="11">
        <f>_xlfn.NORM.S.DIST(-G34,TRUE)</f>
        <v>0.54815448240250797</v>
      </c>
      <c r="L34" s="13">
        <f xml:space="preserve"> ( A34 * H34 ) - ( B34 * EXP(-C34*E34) * I34 )</f>
        <v>4.8964366052483435</v>
      </c>
      <c r="M34" s="13">
        <f xml:space="preserve">  ( B34 * EXP(-C34*E34) *K34 ) - ( A34 *J34 )</f>
        <v>4.8474610970837233</v>
      </c>
      <c r="N34" s="17">
        <f>BlackScholes(A34,B34,C34,D34,E34,"C")</f>
        <v>4.8964366052483461</v>
      </c>
      <c r="O34" s="17">
        <f>BlackScholes(A34,B34,C34,D34,E34,"P")</f>
        <v>4.8474610970837242</v>
      </c>
    </row>
    <row r="35" spans="1:15" x14ac:dyDescent="0.25">
      <c r="A35" s="14"/>
      <c r="B35" s="14"/>
      <c r="C35" s="14"/>
      <c r="D35" s="14"/>
      <c r="E35" s="14"/>
      <c r="F35" s="14"/>
      <c r="G35" s="14"/>
      <c r="H35" s="14"/>
      <c r="I35" s="14"/>
      <c r="J35" s="14"/>
      <c r="K35" s="14"/>
      <c r="L35" s="14"/>
      <c r="M35" s="14"/>
    </row>
    <row r="36" spans="1:15" x14ac:dyDescent="0.25">
      <c r="A36" s="14"/>
      <c r="B36" s="14"/>
      <c r="C36" s="14"/>
      <c r="D36" s="14"/>
      <c r="E36" s="14"/>
      <c r="F36" s="14"/>
      <c r="G36" s="14"/>
      <c r="H36" s="14"/>
      <c r="I36" s="14"/>
      <c r="J36" s="14"/>
      <c r="K36" s="14"/>
      <c r="L36" s="14"/>
      <c r="M36" s="14"/>
    </row>
    <row r="37" spans="1:15" x14ac:dyDescent="0.25">
      <c r="A37" s="14"/>
      <c r="B37" s="14"/>
      <c r="C37" s="14"/>
      <c r="D37" s="14"/>
      <c r="E37" s="14"/>
      <c r="F37" s="14"/>
      <c r="G37" s="14"/>
      <c r="H37" s="14"/>
      <c r="I37" s="14"/>
      <c r="J37" s="14"/>
      <c r="K37" s="14"/>
      <c r="L37" s="14"/>
      <c r="M37" s="14"/>
    </row>
    <row r="38" spans="1:15" x14ac:dyDescent="0.25">
      <c r="A38" s="16"/>
      <c r="B38" s="15"/>
      <c r="C38" s="15"/>
      <c r="D38" s="15"/>
      <c r="E38" s="15"/>
      <c r="F38" s="14"/>
      <c r="G38" s="14"/>
      <c r="H38" s="14"/>
      <c r="I38" s="14"/>
      <c r="J38" s="14"/>
      <c r="K38" s="14"/>
      <c r="L38" s="14"/>
      <c r="M38" s="14"/>
    </row>
    <row r="39" spans="1:15" x14ac:dyDescent="0.25">
      <c r="A39" s="14"/>
      <c r="B39" s="14"/>
      <c r="C39" s="14"/>
      <c r="D39" s="14"/>
      <c r="E39" s="14"/>
      <c r="F39" s="14"/>
      <c r="G39" s="14"/>
      <c r="H39" s="14"/>
      <c r="I39" s="14"/>
      <c r="J39" s="14"/>
      <c r="K39" s="14"/>
      <c r="L39" s="14"/>
      <c r="M39" s="14"/>
    </row>
    <row r="40" spans="1:15" x14ac:dyDescent="0.25">
      <c r="A40" s="14"/>
      <c r="B40" s="14"/>
      <c r="C40" s="14"/>
      <c r="D40" s="14"/>
      <c r="E40" s="14"/>
      <c r="F40" s="14"/>
      <c r="G40" s="14"/>
      <c r="H40" s="14"/>
      <c r="I40" s="14"/>
      <c r="J40" s="14"/>
      <c r="K40" s="14"/>
      <c r="L40" s="14"/>
      <c r="M40" s="14"/>
    </row>
    <row r="41" spans="1:15" x14ac:dyDescent="0.25">
      <c r="A41" s="14"/>
      <c r="B41" s="14"/>
      <c r="C41" s="14"/>
      <c r="D41" s="14"/>
      <c r="E41" s="14"/>
      <c r="F41" s="14"/>
      <c r="G41" s="14"/>
      <c r="H41" s="14"/>
      <c r="I41" s="14"/>
      <c r="J41" s="14"/>
      <c r="K41" s="14"/>
      <c r="L41" s="14"/>
      <c r="M41" s="14"/>
    </row>
    <row r="42" spans="1:15" x14ac:dyDescent="0.25">
      <c r="A42" s="14"/>
      <c r="B42" s="14"/>
      <c r="C42" s="14"/>
      <c r="D42" s="14"/>
      <c r="E42" s="14"/>
      <c r="F42" s="14"/>
      <c r="G42" s="14"/>
      <c r="H42" s="14"/>
      <c r="I42" s="14"/>
      <c r="J42" s="14"/>
      <c r="K42" s="14"/>
      <c r="L42" s="14"/>
      <c r="M42" s="14"/>
    </row>
    <row r="43" spans="1:15" x14ac:dyDescent="0.25">
      <c r="A43" s="14"/>
      <c r="B43" s="14"/>
      <c r="C43" s="14"/>
      <c r="D43" s="14"/>
      <c r="E43" s="14"/>
      <c r="F43" s="14"/>
      <c r="G43" s="14"/>
      <c r="H43" s="14"/>
      <c r="I43" s="14"/>
      <c r="J43" s="14"/>
      <c r="K43" s="14"/>
      <c r="L43" s="14"/>
      <c r="M43" s="14"/>
    </row>
    <row r="44" spans="1:15" x14ac:dyDescent="0.25">
      <c r="A44" s="14"/>
      <c r="B44" s="14"/>
      <c r="C44" s="14"/>
      <c r="D44" s="14"/>
      <c r="E44" s="14"/>
      <c r="F44" s="14"/>
      <c r="G44" s="14"/>
      <c r="H44" s="14"/>
      <c r="I44" s="14"/>
      <c r="J44" s="14"/>
      <c r="K44" s="14"/>
      <c r="L44" s="14"/>
      <c r="M44" s="14"/>
    </row>
    <row r="45" spans="1:15" x14ac:dyDescent="0.25">
      <c r="A45" s="14"/>
      <c r="B45" s="14"/>
      <c r="C45" s="14"/>
      <c r="D45" s="14"/>
      <c r="E45" s="14"/>
      <c r="F45" s="14"/>
      <c r="G45" s="14"/>
      <c r="H45" s="14"/>
      <c r="I45" s="14"/>
      <c r="J45" s="14"/>
      <c r="K45" s="14"/>
      <c r="L45" s="14"/>
      <c r="M45" s="14"/>
    </row>
    <row r="46" spans="1:15" x14ac:dyDescent="0.25">
      <c r="A46" s="14"/>
      <c r="B46" s="14"/>
      <c r="C46" s="14"/>
      <c r="D46" s="14"/>
      <c r="E46" s="14"/>
      <c r="F46" s="14"/>
      <c r="G46" s="14"/>
      <c r="H46" s="14"/>
      <c r="I46" s="14"/>
      <c r="J46" s="14"/>
      <c r="K46" s="14"/>
      <c r="L46" s="14"/>
      <c r="M46" s="14"/>
    </row>
    <row r="47" spans="1:15" x14ac:dyDescent="0.25">
      <c r="A47" s="14"/>
      <c r="B47" s="14"/>
      <c r="C47" s="14"/>
      <c r="D47" s="14"/>
      <c r="E47" s="14"/>
      <c r="F47" s="14"/>
      <c r="G47" s="14"/>
      <c r="H47" s="14"/>
      <c r="I47" s="14"/>
      <c r="J47" s="14"/>
      <c r="K47" s="14"/>
      <c r="L47" s="14"/>
      <c r="M47" s="14"/>
    </row>
  </sheetData>
  <mergeCells count="4">
    <mergeCell ref="A32:E32"/>
    <mergeCell ref="L32:M32"/>
    <mergeCell ref="F32:K32"/>
    <mergeCell ref="N32:O32"/>
  </mergeCells>
  <pageMargins left="0.7" right="0.7" top="0.75" bottom="0.75" header="0.3" footer="0.3"/>
  <pageSetup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3</vt:i4>
      </vt:variant>
    </vt:vector>
  </HeadingPairs>
  <TitlesOfParts>
    <vt:vector size="3" baseType="lpstr">
      <vt:lpstr>Dividend Discount Model</vt:lpstr>
      <vt:lpstr>Single-Index Pricing Model</vt:lpstr>
      <vt:lpstr>The Black-Scholes model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2017-10-24T22:18:38Z</dcterms:modified>
</cp:coreProperties>
</file>